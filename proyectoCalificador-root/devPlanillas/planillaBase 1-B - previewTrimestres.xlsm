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28" codeName="{0C22EB29-47C3-4687-6F23-2E4FB7F3DB4D}"/>
  <workbookPr codeName="ThisWorkbook"/>
  <mc:AlternateContent xmlns:mc="http://schemas.openxmlformats.org/markup-compatibility/2006">
    <mc:Choice Requires="x15">
      <x15ac:absPath xmlns:x15ac="http://schemas.microsoft.com/office/spreadsheetml/2010/11/ac" url="G:\gitProjects\proyectoCalificador\proyectoCalificador-root\devPlanillas\"/>
    </mc:Choice>
  </mc:AlternateContent>
  <xr:revisionPtr revIDLastSave="0" documentId="13_ncr:1_{1A6670B8-C9B4-44F2-8A20-9816C983A530}" xr6:coauthVersionLast="47" xr6:coauthVersionMax="47" xr10:uidLastSave="{00000000-0000-0000-0000-000000000000}"/>
  <bookViews>
    <workbookView xWindow="-120" yWindow="-120" windowWidth="29040" windowHeight="15990" firstSheet="15" activeTab="21" xr2:uid="{00000000-000D-0000-FFFF-FFFF00000000}"/>
  </bookViews>
  <sheets>
    <sheet name="T3" sheetId="42" r:id="rId1"/>
    <sheet name="T2" sheetId="38" r:id="rId2"/>
    <sheet name="T1" sheetId="41" r:id="rId3"/>
    <sheet name="Alumnos" sheetId="21" r:id="rId4"/>
    <sheet name="Materias" sheetId="20" r:id="rId5"/>
    <sheet name="Plantilla" sheetId="19" r:id="rId6"/>
    <sheet name="Lengua" sheetId="22" r:id="rId7"/>
    <sheet name="Lengua Extranjera" sheetId="23" r:id="rId8"/>
    <sheet name="Geografía" sheetId="24" r:id="rId9"/>
    <sheet name="Historia" sheetId="25" r:id="rId10"/>
    <sheet name="Formación Ética y Ciudadana" sheetId="26" r:id="rId11"/>
    <sheet name="Educación Física" sheetId="27" r:id="rId12"/>
    <sheet name="Matemática I" sheetId="28" r:id="rId13"/>
    <sheet name="Biología I" sheetId="29" r:id="rId14"/>
    <sheet name="Dibujo Técnico I" sheetId="30" r:id="rId15"/>
    <sheet name="Tecnología I" sheetId="31" r:id="rId16"/>
    <sheet name="Taller Electricidad I" sheetId="32" r:id="rId17"/>
    <sheet name="Taller Carpintería I" sheetId="33" r:id="rId18"/>
    <sheet name="Taller Hojalatería" sheetId="34" r:id="rId19"/>
    <sheet name="Taller Ajuste Mecánico" sheetId="35" r:id="rId20"/>
    <sheet name="Taller Informática I" sheetId="36" r:id="rId21"/>
    <sheet name="Taller Construcciones I" sheetId="37" r:id="rId2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42" l="1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C7" i="42"/>
  <c r="D7" i="42"/>
  <c r="E7" i="42"/>
  <c r="F7" i="42"/>
  <c r="G7" i="42"/>
  <c r="H7" i="42"/>
  <c r="I7" i="42"/>
  <c r="J7" i="42"/>
  <c r="K7" i="42"/>
  <c r="L7" i="42"/>
  <c r="M7" i="42"/>
  <c r="N7" i="42"/>
  <c r="O7" i="42"/>
  <c r="P7" i="42"/>
  <c r="Q7" i="42"/>
  <c r="R7" i="42"/>
  <c r="C8" i="42"/>
  <c r="D8" i="42"/>
  <c r="E8" i="42"/>
  <c r="F8" i="42"/>
  <c r="G8" i="42"/>
  <c r="H8" i="42"/>
  <c r="I8" i="42"/>
  <c r="J8" i="42"/>
  <c r="K8" i="42"/>
  <c r="L8" i="42"/>
  <c r="M8" i="42"/>
  <c r="N8" i="42"/>
  <c r="O8" i="42"/>
  <c r="P8" i="42"/>
  <c r="Q8" i="42"/>
  <c r="R8" i="42"/>
  <c r="C9" i="42"/>
  <c r="D9" i="42"/>
  <c r="E9" i="42"/>
  <c r="F9" i="42"/>
  <c r="G9" i="42"/>
  <c r="H9" i="42"/>
  <c r="I9" i="42"/>
  <c r="J9" i="42"/>
  <c r="K9" i="42"/>
  <c r="L9" i="42"/>
  <c r="M9" i="42"/>
  <c r="N9" i="42"/>
  <c r="O9" i="42"/>
  <c r="P9" i="42"/>
  <c r="Q9" i="42"/>
  <c r="R9" i="42"/>
  <c r="C10" i="42"/>
  <c r="D10" i="42"/>
  <c r="E10" i="42"/>
  <c r="F10" i="42"/>
  <c r="G10" i="42"/>
  <c r="H10" i="42"/>
  <c r="I10" i="42"/>
  <c r="J10" i="42"/>
  <c r="K10" i="42"/>
  <c r="L10" i="42"/>
  <c r="M10" i="42"/>
  <c r="N10" i="42"/>
  <c r="O10" i="42"/>
  <c r="P10" i="42"/>
  <c r="Q10" i="42"/>
  <c r="R10" i="42"/>
  <c r="C11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C12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C13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C14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C15" i="42"/>
  <c r="D15" i="42"/>
  <c r="E15" i="42"/>
  <c r="F15" i="42"/>
  <c r="G15" i="42"/>
  <c r="H15" i="42"/>
  <c r="I15" i="42"/>
  <c r="J15" i="42"/>
  <c r="K15" i="42"/>
  <c r="L15" i="42"/>
  <c r="M15" i="42"/>
  <c r="N15" i="42"/>
  <c r="O15" i="42"/>
  <c r="P15" i="42"/>
  <c r="Q15" i="42"/>
  <c r="R15" i="42"/>
  <c r="C16" i="42"/>
  <c r="D16" i="42"/>
  <c r="E16" i="42"/>
  <c r="F16" i="42"/>
  <c r="G16" i="42"/>
  <c r="H16" i="42"/>
  <c r="I16" i="42"/>
  <c r="J16" i="42"/>
  <c r="K16" i="42"/>
  <c r="L16" i="42"/>
  <c r="M16" i="42"/>
  <c r="N16" i="42"/>
  <c r="O16" i="42"/>
  <c r="P16" i="42"/>
  <c r="Q16" i="42"/>
  <c r="R16" i="42"/>
  <c r="C17" i="42"/>
  <c r="D17" i="42"/>
  <c r="E17" i="42"/>
  <c r="F17" i="42"/>
  <c r="G17" i="42"/>
  <c r="H17" i="42"/>
  <c r="I17" i="42"/>
  <c r="J17" i="42"/>
  <c r="K17" i="42"/>
  <c r="L17" i="42"/>
  <c r="M17" i="42"/>
  <c r="N17" i="42"/>
  <c r="O17" i="42"/>
  <c r="P17" i="42"/>
  <c r="Q17" i="42"/>
  <c r="R17" i="42"/>
  <c r="C18" i="42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C19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C20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C21" i="42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C22" i="42"/>
  <c r="D22" i="42"/>
  <c r="E22" i="42"/>
  <c r="F22" i="42"/>
  <c r="G22" i="42"/>
  <c r="H22" i="42"/>
  <c r="I22" i="42"/>
  <c r="J22" i="42"/>
  <c r="K22" i="42"/>
  <c r="L22" i="42"/>
  <c r="M22" i="42"/>
  <c r="N22" i="42"/>
  <c r="O22" i="42"/>
  <c r="P22" i="42"/>
  <c r="Q22" i="42"/>
  <c r="R22" i="42"/>
  <c r="C23" i="42"/>
  <c r="D23" i="42"/>
  <c r="E23" i="42"/>
  <c r="F23" i="42"/>
  <c r="G23" i="42"/>
  <c r="H23" i="42"/>
  <c r="I23" i="42"/>
  <c r="J23" i="42"/>
  <c r="K23" i="42"/>
  <c r="L23" i="42"/>
  <c r="M23" i="42"/>
  <c r="N23" i="42"/>
  <c r="O23" i="42"/>
  <c r="P23" i="42"/>
  <c r="Q23" i="42"/>
  <c r="R23" i="42"/>
  <c r="C24" i="42"/>
  <c r="D24" i="42"/>
  <c r="E24" i="42"/>
  <c r="F24" i="42"/>
  <c r="G24" i="42"/>
  <c r="H24" i="42"/>
  <c r="I24" i="42"/>
  <c r="J24" i="42"/>
  <c r="K24" i="42"/>
  <c r="L24" i="42"/>
  <c r="M24" i="42"/>
  <c r="N24" i="42"/>
  <c r="O24" i="42"/>
  <c r="P24" i="42"/>
  <c r="Q24" i="42"/>
  <c r="R24" i="42"/>
  <c r="C25" i="42"/>
  <c r="D25" i="42"/>
  <c r="E25" i="42"/>
  <c r="F25" i="42"/>
  <c r="G25" i="42"/>
  <c r="H25" i="42"/>
  <c r="I25" i="42"/>
  <c r="J25" i="42"/>
  <c r="K25" i="42"/>
  <c r="L25" i="42"/>
  <c r="M25" i="42"/>
  <c r="N25" i="42"/>
  <c r="O25" i="42"/>
  <c r="P25" i="42"/>
  <c r="Q25" i="42"/>
  <c r="R25" i="42"/>
  <c r="C26" i="42"/>
  <c r="D26" i="42"/>
  <c r="E26" i="42"/>
  <c r="F26" i="42"/>
  <c r="G26" i="42"/>
  <c r="H26" i="42"/>
  <c r="I26" i="42"/>
  <c r="J26" i="42"/>
  <c r="K26" i="42"/>
  <c r="L26" i="42"/>
  <c r="M26" i="42"/>
  <c r="N26" i="42"/>
  <c r="O26" i="42"/>
  <c r="P26" i="42"/>
  <c r="Q26" i="42"/>
  <c r="R26" i="42"/>
  <c r="C27" i="42"/>
  <c r="D27" i="42"/>
  <c r="E27" i="42"/>
  <c r="F27" i="42"/>
  <c r="G27" i="42"/>
  <c r="H27" i="42"/>
  <c r="I27" i="42"/>
  <c r="J27" i="42"/>
  <c r="K27" i="42"/>
  <c r="L27" i="42"/>
  <c r="M27" i="42"/>
  <c r="N27" i="42"/>
  <c r="O27" i="42"/>
  <c r="P27" i="42"/>
  <c r="Q27" i="42"/>
  <c r="R27" i="42"/>
  <c r="C28" i="42"/>
  <c r="D28" i="42"/>
  <c r="E28" i="42"/>
  <c r="F28" i="42"/>
  <c r="G28" i="42"/>
  <c r="H28" i="42"/>
  <c r="I28" i="42"/>
  <c r="J28" i="42"/>
  <c r="K28" i="42"/>
  <c r="L28" i="42"/>
  <c r="M28" i="42"/>
  <c r="N28" i="42"/>
  <c r="O28" i="42"/>
  <c r="P28" i="42"/>
  <c r="Q28" i="42"/>
  <c r="R28" i="42"/>
  <c r="C29" i="42"/>
  <c r="D29" i="42"/>
  <c r="E29" i="42"/>
  <c r="F29" i="42"/>
  <c r="G29" i="42"/>
  <c r="H29" i="42"/>
  <c r="I29" i="42"/>
  <c r="J29" i="42"/>
  <c r="K29" i="42"/>
  <c r="L29" i="42"/>
  <c r="M29" i="42"/>
  <c r="N29" i="42"/>
  <c r="O29" i="42"/>
  <c r="P29" i="42"/>
  <c r="Q29" i="42"/>
  <c r="R29" i="42"/>
  <c r="C30" i="42"/>
  <c r="D30" i="42"/>
  <c r="E30" i="42"/>
  <c r="F30" i="42"/>
  <c r="G30" i="42"/>
  <c r="H30" i="42"/>
  <c r="I30" i="42"/>
  <c r="J30" i="42"/>
  <c r="K30" i="42"/>
  <c r="L30" i="42"/>
  <c r="M30" i="42"/>
  <c r="N30" i="42"/>
  <c r="O30" i="42"/>
  <c r="P30" i="42"/>
  <c r="Q30" i="42"/>
  <c r="R30" i="42"/>
  <c r="C31" i="42"/>
  <c r="D31" i="42"/>
  <c r="E31" i="42"/>
  <c r="F31" i="42"/>
  <c r="G31" i="42"/>
  <c r="H31" i="42"/>
  <c r="I31" i="42"/>
  <c r="J31" i="42"/>
  <c r="K31" i="42"/>
  <c r="L31" i="42"/>
  <c r="M31" i="42"/>
  <c r="N31" i="42"/>
  <c r="O31" i="42"/>
  <c r="P31" i="42"/>
  <c r="Q31" i="42"/>
  <c r="R31" i="42"/>
  <c r="C32" i="42"/>
  <c r="D32" i="42"/>
  <c r="E32" i="42"/>
  <c r="F32" i="42"/>
  <c r="G32" i="42"/>
  <c r="H32" i="42"/>
  <c r="I32" i="42"/>
  <c r="J32" i="42"/>
  <c r="K32" i="42"/>
  <c r="L32" i="42"/>
  <c r="M32" i="42"/>
  <c r="N32" i="42"/>
  <c r="O32" i="42"/>
  <c r="P32" i="42"/>
  <c r="Q32" i="42"/>
  <c r="R32" i="42"/>
  <c r="C33" i="42"/>
  <c r="D33" i="42"/>
  <c r="E33" i="42"/>
  <c r="F33" i="42"/>
  <c r="G33" i="42"/>
  <c r="H33" i="42"/>
  <c r="I33" i="42"/>
  <c r="J33" i="42"/>
  <c r="K33" i="42"/>
  <c r="L33" i="42"/>
  <c r="M33" i="42"/>
  <c r="N33" i="42"/>
  <c r="O33" i="42"/>
  <c r="P33" i="42"/>
  <c r="Q33" i="42"/>
  <c r="R33" i="42"/>
  <c r="C34" i="42"/>
  <c r="D34" i="42"/>
  <c r="E34" i="42"/>
  <c r="F34" i="42"/>
  <c r="G34" i="42"/>
  <c r="H34" i="42"/>
  <c r="I34" i="42"/>
  <c r="J34" i="42"/>
  <c r="K34" i="42"/>
  <c r="L34" i="42"/>
  <c r="M34" i="42"/>
  <c r="N34" i="42"/>
  <c r="O34" i="42"/>
  <c r="P34" i="42"/>
  <c r="Q34" i="42"/>
  <c r="R34" i="42"/>
  <c r="C35" i="42"/>
  <c r="D35" i="42"/>
  <c r="E35" i="42"/>
  <c r="F35" i="42"/>
  <c r="G35" i="42"/>
  <c r="H35" i="42"/>
  <c r="I35" i="42"/>
  <c r="J35" i="42"/>
  <c r="K35" i="42"/>
  <c r="L35" i="42"/>
  <c r="M35" i="42"/>
  <c r="N35" i="42"/>
  <c r="O35" i="42"/>
  <c r="P35" i="42"/>
  <c r="Q35" i="42"/>
  <c r="R35" i="42"/>
  <c r="C36" i="42"/>
  <c r="D36" i="42"/>
  <c r="E36" i="42"/>
  <c r="F36" i="42"/>
  <c r="G36" i="42"/>
  <c r="H36" i="42"/>
  <c r="I36" i="42"/>
  <c r="J36" i="42"/>
  <c r="K36" i="42"/>
  <c r="L36" i="42"/>
  <c r="M36" i="42"/>
  <c r="N36" i="42"/>
  <c r="O36" i="42"/>
  <c r="P36" i="42"/>
  <c r="Q36" i="42"/>
  <c r="R36" i="42"/>
  <c r="R5" i="42"/>
  <c r="Q5" i="42"/>
  <c r="P5" i="42"/>
  <c r="O5" i="42"/>
  <c r="N5" i="42"/>
  <c r="M5" i="42"/>
  <c r="L5" i="42"/>
  <c r="K5" i="42"/>
  <c r="J5" i="42"/>
  <c r="I5" i="42"/>
  <c r="H5" i="42"/>
  <c r="G5" i="42"/>
  <c r="F5" i="42"/>
  <c r="E5" i="42"/>
  <c r="D5" i="42"/>
  <c r="C5" i="42"/>
  <c r="B36" i="42"/>
  <c r="A36" i="42"/>
  <c r="B35" i="42"/>
  <c r="A35" i="42"/>
  <c r="B34" i="42"/>
  <c r="A34" i="42"/>
  <c r="B33" i="42"/>
  <c r="A33" i="42"/>
  <c r="B32" i="42"/>
  <c r="A32" i="42"/>
  <c r="B31" i="42"/>
  <c r="A31" i="42"/>
  <c r="B30" i="42"/>
  <c r="A30" i="42"/>
  <c r="B29" i="42"/>
  <c r="A29" i="42"/>
  <c r="B28" i="42"/>
  <c r="A28" i="42"/>
  <c r="B27" i="42"/>
  <c r="A27" i="42"/>
  <c r="B26" i="42"/>
  <c r="A26" i="42"/>
  <c r="B25" i="42"/>
  <c r="A25" i="42"/>
  <c r="B24" i="42"/>
  <c r="A24" i="42"/>
  <c r="B23" i="42"/>
  <c r="A23" i="42"/>
  <c r="B22" i="42"/>
  <c r="A22" i="42"/>
  <c r="B21" i="42"/>
  <c r="A21" i="42"/>
  <c r="B20" i="42"/>
  <c r="A20" i="42"/>
  <c r="B19" i="42"/>
  <c r="A19" i="42"/>
  <c r="B18" i="42"/>
  <c r="A18" i="42"/>
  <c r="B17" i="42"/>
  <c r="A17" i="42"/>
  <c r="B16" i="42"/>
  <c r="A16" i="42"/>
  <c r="B15" i="42"/>
  <c r="A15" i="42"/>
  <c r="B14" i="42"/>
  <c r="A14" i="42"/>
  <c r="B13" i="42"/>
  <c r="A13" i="42"/>
  <c r="B12" i="42"/>
  <c r="A12" i="42"/>
  <c r="B11" i="42"/>
  <c r="A11" i="42"/>
  <c r="B10" i="42"/>
  <c r="A10" i="42"/>
  <c r="B9" i="42"/>
  <c r="A9" i="42"/>
  <c r="B8" i="42"/>
  <c r="A8" i="42"/>
  <c r="B7" i="42"/>
  <c r="A7" i="42"/>
  <c r="B6" i="42"/>
  <c r="A6" i="42"/>
  <c r="B5" i="42"/>
  <c r="A5" i="42"/>
  <c r="C3" i="42"/>
  <c r="B2" i="42"/>
  <c r="C1" i="42"/>
  <c r="C6" i="38"/>
  <c r="D6" i="38"/>
  <c r="E6" i="38"/>
  <c r="F6" i="38"/>
  <c r="G6" i="38"/>
  <c r="H6" i="38"/>
  <c r="I6" i="38"/>
  <c r="J6" i="38"/>
  <c r="K6" i="38"/>
  <c r="L6" i="38"/>
  <c r="M6" i="38"/>
  <c r="N6" i="38"/>
  <c r="O6" i="38"/>
  <c r="P6" i="38"/>
  <c r="Q6" i="38"/>
  <c r="R6" i="38"/>
  <c r="C7" i="38"/>
  <c r="D7" i="38"/>
  <c r="E7" i="38"/>
  <c r="F7" i="38"/>
  <c r="G7" i="38"/>
  <c r="H7" i="38"/>
  <c r="I7" i="38"/>
  <c r="J7" i="38"/>
  <c r="K7" i="38"/>
  <c r="L7" i="38"/>
  <c r="M7" i="38"/>
  <c r="N7" i="38"/>
  <c r="O7" i="38"/>
  <c r="P7" i="38"/>
  <c r="Q7" i="38"/>
  <c r="R7" i="38"/>
  <c r="C8" i="38"/>
  <c r="D8" i="38"/>
  <c r="E8" i="38"/>
  <c r="F8" i="38"/>
  <c r="G8" i="38"/>
  <c r="H8" i="38"/>
  <c r="I8" i="38"/>
  <c r="J8" i="38"/>
  <c r="K8" i="38"/>
  <c r="L8" i="38"/>
  <c r="M8" i="38"/>
  <c r="N8" i="38"/>
  <c r="O8" i="38"/>
  <c r="P8" i="38"/>
  <c r="Q8" i="38"/>
  <c r="R8" i="38"/>
  <c r="C9" i="38"/>
  <c r="D9" i="38"/>
  <c r="E9" i="38"/>
  <c r="F9" i="38"/>
  <c r="G9" i="38"/>
  <c r="H9" i="38"/>
  <c r="I9" i="38"/>
  <c r="J9" i="38"/>
  <c r="K9" i="38"/>
  <c r="L9" i="38"/>
  <c r="M9" i="38"/>
  <c r="N9" i="38"/>
  <c r="O9" i="38"/>
  <c r="P9" i="38"/>
  <c r="Q9" i="38"/>
  <c r="R9" i="38"/>
  <c r="C10" i="38"/>
  <c r="D10" i="38"/>
  <c r="E10" i="38"/>
  <c r="F10" i="38"/>
  <c r="G10" i="38"/>
  <c r="H10" i="38"/>
  <c r="I10" i="38"/>
  <c r="J10" i="38"/>
  <c r="K10" i="38"/>
  <c r="L10" i="38"/>
  <c r="M10" i="38"/>
  <c r="N10" i="38"/>
  <c r="O10" i="38"/>
  <c r="P10" i="38"/>
  <c r="Q10" i="38"/>
  <c r="R10" i="38"/>
  <c r="C11" i="38"/>
  <c r="D11" i="38"/>
  <c r="E11" i="38"/>
  <c r="F11" i="38"/>
  <c r="G11" i="38"/>
  <c r="H11" i="38"/>
  <c r="I11" i="38"/>
  <c r="J11" i="38"/>
  <c r="K11" i="38"/>
  <c r="L11" i="38"/>
  <c r="M11" i="38"/>
  <c r="N11" i="38"/>
  <c r="O11" i="38"/>
  <c r="P11" i="38"/>
  <c r="Q11" i="38"/>
  <c r="R11" i="38"/>
  <c r="C12" i="38"/>
  <c r="D12" i="38"/>
  <c r="E12" i="38"/>
  <c r="F12" i="38"/>
  <c r="G12" i="38"/>
  <c r="H12" i="38"/>
  <c r="I12" i="38"/>
  <c r="J12" i="38"/>
  <c r="K12" i="38"/>
  <c r="L12" i="38"/>
  <c r="M12" i="38"/>
  <c r="N12" i="38"/>
  <c r="O12" i="38"/>
  <c r="P12" i="38"/>
  <c r="Q12" i="38"/>
  <c r="R12" i="38"/>
  <c r="C13" i="38"/>
  <c r="D13" i="38"/>
  <c r="E13" i="38"/>
  <c r="F13" i="38"/>
  <c r="G13" i="38"/>
  <c r="H13" i="38"/>
  <c r="I13" i="38"/>
  <c r="J13" i="38"/>
  <c r="K13" i="38"/>
  <c r="L13" i="38"/>
  <c r="M13" i="38"/>
  <c r="N13" i="38"/>
  <c r="O13" i="38"/>
  <c r="P13" i="38"/>
  <c r="Q13" i="38"/>
  <c r="R13" i="38"/>
  <c r="C14" i="38"/>
  <c r="D14" i="38"/>
  <c r="E14" i="38"/>
  <c r="F14" i="38"/>
  <c r="G14" i="38"/>
  <c r="H14" i="38"/>
  <c r="I14" i="38"/>
  <c r="J14" i="38"/>
  <c r="K14" i="38"/>
  <c r="L14" i="38"/>
  <c r="M14" i="38"/>
  <c r="N14" i="38"/>
  <c r="O14" i="38"/>
  <c r="P14" i="38"/>
  <c r="Q14" i="38"/>
  <c r="R14" i="38"/>
  <c r="C15" i="38"/>
  <c r="D15" i="38"/>
  <c r="E15" i="38"/>
  <c r="F15" i="38"/>
  <c r="G15" i="38"/>
  <c r="H15" i="38"/>
  <c r="I15" i="38"/>
  <c r="J15" i="38"/>
  <c r="K15" i="38"/>
  <c r="L15" i="38"/>
  <c r="M15" i="38"/>
  <c r="N15" i="38"/>
  <c r="O15" i="38"/>
  <c r="P15" i="38"/>
  <c r="Q15" i="38"/>
  <c r="R15" i="38"/>
  <c r="C16" i="38"/>
  <c r="D16" i="38"/>
  <c r="E16" i="38"/>
  <c r="F16" i="38"/>
  <c r="G16" i="38"/>
  <c r="H16" i="38"/>
  <c r="I16" i="38"/>
  <c r="J16" i="38"/>
  <c r="K16" i="38"/>
  <c r="L16" i="38"/>
  <c r="M16" i="38"/>
  <c r="N16" i="38"/>
  <c r="O16" i="38"/>
  <c r="P16" i="38"/>
  <c r="Q16" i="38"/>
  <c r="R16" i="38"/>
  <c r="C17" i="38"/>
  <c r="D17" i="38"/>
  <c r="E17" i="38"/>
  <c r="F17" i="38"/>
  <c r="G17" i="38"/>
  <c r="H17" i="38"/>
  <c r="I17" i="38"/>
  <c r="J17" i="38"/>
  <c r="K17" i="38"/>
  <c r="L17" i="38"/>
  <c r="M17" i="38"/>
  <c r="N17" i="38"/>
  <c r="O17" i="38"/>
  <c r="P17" i="38"/>
  <c r="Q17" i="38"/>
  <c r="R17" i="38"/>
  <c r="C18" i="38"/>
  <c r="D18" i="38"/>
  <c r="E18" i="38"/>
  <c r="F18" i="38"/>
  <c r="G18" i="38"/>
  <c r="H18" i="38"/>
  <c r="I18" i="38"/>
  <c r="J18" i="38"/>
  <c r="K18" i="38"/>
  <c r="L18" i="38"/>
  <c r="M18" i="38"/>
  <c r="N18" i="38"/>
  <c r="O18" i="38"/>
  <c r="P18" i="38"/>
  <c r="Q18" i="38"/>
  <c r="R18" i="38"/>
  <c r="C19" i="38"/>
  <c r="D19" i="38"/>
  <c r="E19" i="38"/>
  <c r="F19" i="38"/>
  <c r="G19" i="38"/>
  <c r="H19" i="38"/>
  <c r="I19" i="38"/>
  <c r="J19" i="38"/>
  <c r="K19" i="38"/>
  <c r="L19" i="38"/>
  <c r="M19" i="38"/>
  <c r="N19" i="38"/>
  <c r="O19" i="38"/>
  <c r="P19" i="38"/>
  <c r="Q19" i="38"/>
  <c r="R19" i="38"/>
  <c r="C20" i="38"/>
  <c r="D20" i="38"/>
  <c r="E20" i="38"/>
  <c r="F20" i="38"/>
  <c r="G20" i="38"/>
  <c r="H20" i="38"/>
  <c r="I20" i="38"/>
  <c r="J20" i="38"/>
  <c r="K20" i="38"/>
  <c r="L20" i="38"/>
  <c r="M20" i="38"/>
  <c r="N20" i="38"/>
  <c r="O20" i="38"/>
  <c r="P20" i="38"/>
  <c r="Q20" i="38"/>
  <c r="R20" i="38"/>
  <c r="C21" i="38"/>
  <c r="D21" i="38"/>
  <c r="E21" i="38"/>
  <c r="F21" i="38"/>
  <c r="G21" i="38"/>
  <c r="H21" i="38"/>
  <c r="I21" i="38"/>
  <c r="J21" i="38"/>
  <c r="K21" i="38"/>
  <c r="L21" i="38"/>
  <c r="M21" i="38"/>
  <c r="N21" i="38"/>
  <c r="O21" i="38"/>
  <c r="P21" i="38"/>
  <c r="Q21" i="38"/>
  <c r="R21" i="38"/>
  <c r="C22" i="38"/>
  <c r="D22" i="38"/>
  <c r="E22" i="38"/>
  <c r="F22" i="38"/>
  <c r="G22" i="38"/>
  <c r="H22" i="38"/>
  <c r="I22" i="38"/>
  <c r="J22" i="38"/>
  <c r="K22" i="38"/>
  <c r="L22" i="38"/>
  <c r="M22" i="38"/>
  <c r="N22" i="38"/>
  <c r="O22" i="38"/>
  <c r="P22" i="38"/>
  <c r="Q22" i="38"/>
  <c r="R22" i="38"/>
  <c r="C23" i="38"/>
  <c r="D23" i="38"/>
  <c r="E23" i="38"/>
  <c r="F23" i="38"/>
  <c r="G23" i="38"/>
  <c r="H23" i="38"/>
  <c r="I23" i="38"/>
  <c r="J23" i="38"/>
  <c r="K23" i="38"/>
  <c r="L23" i="38"/>
  <c r="M23" i="38"/>
  <c r="N23" i="38"/>
  <c r="O23" i="38"/>
  <c r="P23" i="38"/>
  <c r="Q23" i="38"/>
  <c r="R23" i="38"/>
  <c r="C24" i="38"/>
  <c r="D24" i="38"/>
  <c r="E24" i="38"/>
  <c r="F24" i="38"/>
  <c r="G24" i="38"/>
  <c r="H24" i="38"/>
  <c r="I24" i="38"/>
  <c r="J24" i="38"/>
  <c r="K24" i="38"/>
  <c r="L24" i="38"/>
  <c r="M24" i="38"/>
  <c r="N24" i="38"/>
  <c r="O24" i="38"/>
  <c r="P24" i="38"/>
  <c r="Q24" i="38"/>
  <c r="R24" i="38"/>
  <c r="C25" i="38"/>
  <c r="D25" i="38"/>
  <c r="E25" i="38"/>
  <c r="F25" i="38"/>
  <c r="G25" i="38"/>
  <c r="H25" i="38"/>
  <c r="I25" i="38"/>
  <c r="J25" i="38"/>
  <c r="K25" i="38"/>
  <c r="L25" i="38"/>
  <c r="M25" i="38"/>
  <c r="N25" i="38"/>
  <c r="O25" i="38"/>
  <c r="P25" i="38"/>
  <c r="Q25" i="38"/>
  <c r="R25" i="38"/>
  <c r="C26" i="38"/>
  <c r="D26" i="38"/>
  <c r="E26" i="38"/>
  <c r="F26" i="38"/>
  <c r="G26" i="38"/>
  <c r="H26" i="38"/>
  <c r="I26" i="38"/>
  <c r="J26" i="38"/>
  <c r="K26" i="38"/>
  <c r="L26" i="38"/>
  <c r="M26" i="38"/>
  <c r="N26" i="38"/>
  <c r="O26" i="38"/>
  <c r="P26" i="38"/>
  <c r="Q26" i="38"/>
  <c r="R26" i="38"/>
  <c r="C27" i="38"/>
  <c r="D27" i="38"/>
  <c r="E27" i="38"/>
  <c r="F27" i="38"/>
  <c r="G27" i="38"/>
  <c r="H27" i="38"/>
  <c r="I27" i="38"/>
  <c r="J27" i="38"/>
  <c r="K27" i="38"/>
  <c r="L27" i="38"/>
  <c r="M27" i="38"/>
  <c r="N27" i="38"/>
  <c r="O27" i="38"/>
  <c r="P27" i="38"/>
  <c r="Q27" i="38"/>
  <c r="R27" i="38"/>
  <c r="C28" i="38"/>
  <c r="D28" i="38"/>
  <c r="E28" i="38"/>
  <c r="F28" i="38"/>
  <c r="G28" i="38"/>
  <c r="H28" i="38"/>
  <c r="I28" i="38"/>
  <c r="J28" i="38"/>
  <c r="K28" i="38"/>
  <c r="L28" i="38"/>
  <c r="M28" i="38"/>
  <c r="N28" i="38"/>
  <c r="O28" i="38"/>
  <c r="P28" i="38"/>
  <c r="Q28" i="38"/>
  <c r="R28" i="38"/>
  <c r="C29" i="38"/>
  <c r="D29" i="38"/>
  <c r="E29" i="38"/>
  <c r="F29" i="38"/>
  <c r="G29" i="38"/>
  <c r="H29" i="38"/>
  <c r="I29" i="38"/>
  <c r="J29" i="38"/>
  <c r="K29" i="38"/>
  <c r="L29" i="38"/>
  <c r="M29" i="38"/>
  <c r="N29" i="38"/>
  <c r="O29" i="38"/>
  <c r="P29" i="38"/>
  <c r="Q29" i="38"/>
  <c r="R29" i="38"/>
  <c r="C30" i="38"/>
  <c r="D30" i="38"/>
  <c r="E30" i="38"/>
  <c r="F30" i="38"/>
  <c r="G30" i="38"/>
  <c r="H30" i="38"/>
  <c r="I30" i="38"/>
  <c r="J30" i="38"/>
  <c r="K30" i="38"/>
  <c r="L30" i="38"/>
  <c r="M30" i="38"/>
  <c r="N30" i="38"/>
  <c r="O30" i="38"/>
  <c r="P30" i="38"/>
  <c r="Q30" i="38"/>
  <c r="R30" i="38"/>
  <c r="C31" i="38"/>
  <c r="D31" i="38"/>
  <c r="E31" i="38"/>
  <c r="F31" i="38"/>
  <c r="G31" i="38"/>
  <c r="H31" i="38"/>
  <c r="I31" i="38"/>
  <c r="J31" i="38"/>
  <c r="K31" i="38"/>
  <c r="L31" i="38"/>
  <c r="M31" i="38"/>
  <c r="N31" i="38"/>
  <c r="O31" i="38"/>
  <c r="P31" i="38"/>
  <c r="Q31" i="38"/>
  <c r="R31" i="38"/>
  <c r="C32" i="38"/>
  <c r="D32" i="38"/>
  <c r="E32" i="38"/>
  <c r="F32" i="38"/>
  <c r="G32" i="38"/>
  <c r="H32" i="38"/>
  <c r="I32" i="38"/>
  <c r="J32" i="38"/>
  <c r="K32" i="38"/>
  <c r="L32" i="38"/>
  <c r="M32" i="38"/>
  <c r="N32" i="38"/>
  <c r="O32" i="38"/>
  <c r="P32" i="38"/>
  <c r="Q32" i="38"/>
  <c r="R32" i="38"/>
  <c r="C33" i="38"/>
  <c r="D33" i="38"/>
  <c r="E33" i="38"/>
  <c r="F33" i="38"/>
  <c r="G33" i="38"/>
  <c r="H33" i="38"/>
  <c r="I33" i="38"/>
  <c r="J33" i="38"/>
  <c r="K33" i="38"/>
  <c r="L33" i="38"/>
  <c r="M33" i="38"/>
  <c r="N33" i="38"/>
  <c r="O33" i="38"/>
  <c r="P33" i="38"/>
  <c r="Q33" i="38"/>
  <c r="R33" i="38"/>
  <c r="C34" i="38"/>
  <c r="D34" i="38"/>
  <c r="E34" i="38"/>
  <c r="F34" i="38"/>
  <c r="G34" i="38"/>
  <c r="H34" i="38"/>
  <c r="I34" i="38"/>
  <c r="J34" i="38"/>
  <c r="K34" i="38"/>
  <c r="L34" i="38"/>
  <c r="M34" i="38"/>
  <c r="N34" i="38"/>
  <c r="O34" i="38"/>
  <c r="P34" i="38"/>
  <c r="Q34" i="38"/>
  <c r="R34" i="38"/>
  <c r="C35" i="38"/>
  <c r="D35" i="38"/>
  <c r="E35" i="38"/>
  <c r="F35" i="38"/>
  <c r="G35" i="38"/>
  <c r="H35" i="38"/>
  <c r="I35" i="38"/>
  <c r="J35" i="38"/>
  <c r="K35" i="38"/>
  <c r="L35" i="38"/>
  <c r="M35" i="38"/>
  <c r="N35" i="38"/>
  <c r="O35" i="38"/>
  <c r="P35" i="38"/>
  <c r="Q35" i="38"/>
  <c r="R35" i="38"/>
  <c r="C36" i="38"/>
  <c r="D36" i="38"/>
  <c r="E36" i="38"/>
  <c r="F36" i="38"/>
  <c r="G36" i="38"/>
  <c r="H36" i="38"/>
  <c r="I36" i="38"/>
  <c r="J36" i="38"/>
  <c r="K36" i="38"/>
  <c r="L36" i="38"/>
  <c r="M36" i="38"/>
  <c r="N36" i="38"/>
  <c r="O36" i="38"/>
  <c r="P36" i="38"/>
  <c r="Q36" i="38"/>
  <c r="R36" i="38"/>
  <c r="R5" i="38"/>
  <c r="Q5" i="38"/>
  <c r="P5" i="38"/>
  <c r="O5" i="38"/>
  <c r="N5" i="38"/>
  <c r="M5" i="38"/>
  <c r="L5" i="38"/>
  <c r="K5" i="38"/>
  <c r="J5" i="38"/>
  <c r="I5" i="38"/>
  <c r="H5" i="38"/>
  <c r="G5" i="38"/>
  <c r="F5" i="38"/>
  <c r="E5" i="38"/>
  <c r="D5" i="38"/>
  <c r="C5" i="38"/>
  <c r="R36" i="41"/>
  <c r="Q36" i="41"/>
  <c r="P36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A36" i="41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A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A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A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A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A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A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A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A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A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A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A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A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A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A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A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A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A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A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A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C16" i="41"/>
  <c r="B16" i="41"/>
  <c r="A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C15" i="41"/>
  <c r="B15" i="41"/>
  <c r="A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C14" i="41"/>
  <c r="B14" i="41"/>
  <c r="A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C13" i="41"/>
  <c r="B13" i="41"/>
  <c r="A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C12" i="41"/>
  <c r="B12" i="41"/>
  <c r="A12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F11" i="41"/>
  <c r="E11" i="41"/>
  <c r="D11" i="41"/>
  <c r="C11" i="41"/>
  <c r="B11" i="41"/>
  <c r="A11" i="41"/>
  <c r="R10" i="41"/>
  <c r="Q10" i="41"/>
  <c r="P10" i="41"/>
  <c r="O10" i="41"/>
  <c r="N10" i="41"/>
  <c r="M10" i="41"/>
  <c r="L10" i="41"/>
  <c r="K10" i="41"/>
  <c r="J10" i="41"/>
  <c r="I10" i="41"/>
  <c r="H10" i="41"/>
  <c r="G10" i="41"/>
  <c r="F10" i="41"/>
  <c r="E10" i="41"/>
  <c r="D10" i="41"/>
  <c r="C10" i="41"/>
  <c r="B10" i="41"/>
  <c r="A10" i="41"/>
  <c r="R9" i="41"/>
  <c r="Q9" i="41"/>
  <c r="P9" i="41"/>
  <c r="O9" i="41"/>
  <c r="N9" i="41"/>
  <c r="M9" i="41"/>
  <c r="L9" i="41"/>
  <c r="K9" i="41"/>
  <c r="J9" i="41"/>
  <c r="I9" i="41"/>
  <c r="H9" i="41"/>
  <c r="G9" i="41"/>
  <c r="F9" i="41"/>
  <c r="E9" i="41"/>
  <c r="D9" i="41"/>
  <c r="C9" i="41"/>
  <c r="B9" i="41"/>
  <c r="A9" i="41"/>
  <c r="R8" i="41"/>
  <c r="Q8" i="41"/>
  <c r="P8" i="41"/>
  <c r="O8" i="41"/>
  <c r="N8" i="41"/>
  <c r="M8" i="41"/>
  <c r="L8" i="41"/>
  <c r="K8" i="41"/>
  <c r="J8" i="41"/>
  <c r="I8" i="41"/>
  <c r="H8" i="41"/>
  <c r="G8" i="41"/>
  <c r="F8" i="41"/>
  <c r="E8" i="41"/>
  <c r="D8" i="41"/>
  <c r="C8" i="41"/>
  <c r="B8" i="41"/>
  <c r="A8" i="41"/>
  <c r="R7" i="41"/>
  <c r="Q7" i="41"/>
  <c r="P7" i="41"/>
  <c r="O7" i="41"/>
  <c r="N7" i="41"/>
  <c r="M7" i="41"/>
  <c r="L7" i="41"/>
  <c r="K7" i="41"/>
  <c r="J7" i="41"/>
  <c r="I7" i="41"/>
  <c r="H7" i="41"/>
  <c r="G7" i="41"/>
  <c r="F7" i="41"/>
  <c r="E7" i="41"/>
  <c r="D7" i="41"/>
  <c r="C7" i="41"/>
  <c r="B7" i="41"/>
  <c r="A7" i="41"/>
  <c r="R6" i="41"/>
  <c r="Q6" i="41"/>
  <c r="P6" i="41"/>
  <c r="O6" i="41"/>
  <c r="N6" i="41"/>
  <c r="M6" i="41"/>
  <c r="L6" i="41"/>
  <c r="K6" i="41"/>
  <c r="J6" i="41"/>
  <c r="I6" i="41"/>
  <c r="H6" i="41"/>
  <c r="G6" i="41"/>
  <c r="F6" i="41"/>
  <c r="E6" i="41"/>
  <c r="D6" i="41"/>
  <c r="C6" i="41"/>
  <c r="B6" i="41"/>
  <c r="A6" i="41"/>
  <c r="R5" i="41"/>
  <c r="Q5" i="41"/>
  <c r="P5" i="41"/>
  <c r="O5" i="41"/>
  <c r="N5" i="41"/>
  <c r="L5" i="41"/>
  <c r="K5" i="41"/>
  <c r="J5" i="41"/>
  <c r="I5" i="41"/>
  <c r="H5" i="41"/>
  <c r="G5" i="41"/>
  <c r="F5" i="41"/>
  <c r="E5" i="41"/>
  <c r="D5" i="41"/>
  <c r="C5" i="41"/>
  <c r="B5" i="41"/>
  <c r="A5" i="41"/>
  <c r="C3" i="41"/>
  <c r="B2" i="41"/>
  <c r="C1" i="41"/>
  <c r="A5" i="38"/>
  <c r="C3" i="38"/>
  <c r="C1" i="38"/>
  <c r="A6" i="38"/>
  <c r="A7" i="38"/>
  <c r="A8" i="38"/>
  <c r="A9" i="38"/>
  <c r="A10" i="38"/>
  <c r="A11" i="38"/>
  <c r="A12" i="38"/>
  <c r="A13" i="38"/>
  <c r="A14" i="38"/>
  <c r="A15" i="38"/>
  <c r="A16" i="38"/>
  <c r="B6" i="38"/>
  <c r="B7" i="38"/>
  <c r="B8" i="38"/>
  <c r="B9" i="38"/>
  <c r="B10" i="38"/>
  <c r="B11" i="38"/>
  <c r="B12" i="38"/>
  <c r="B13" i="38"/>
  <c r="B14" i="38"/>
  <c r="B15" i="38"/>
  <c r="B16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B31" i="38"/>
  <c r="B32" i="38"/>
  <c r="B33" i="38"/>
  <c r="B34" i="38"/>
  <c r="B35" i="38"/>
  <c r="B3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B5" i="38"/>
  <c r="B2" i="38"/>
  <c r="V36" i="37"/>
  <c r="U36" i="37"/>
  <c r="W36" i="37" s="1"/>
  <c r="Q36" i="37"/>
  <c r="L36" i="37"/>
  <c r="G36" i="37"/>
  <c r="R36" i="37" s="1"/>
  <c r="B36" i="37"/>
  <c r="A36" i="37"/>
  <c r="V35" i="37"/>
  <c r="U35" i="37"/>
  <c r="W35" i="37" s="1"/>
  <c r="Q35" i="37"/>
  <c r="L35" i="37"/>
  <c r="G35" i="37"/>
  <c r="R35" i="37" s="1"/>
  <c r="B35" i="37"/>
  <c r="A35" i="37"/>
  <c r="W34" i="37"/>
  <c r="V34" i="37"/>
  <c r="U34" i="37"/>
  <c r="Q34" i="37"/>
  <c r="L34" i="37"/>
  <c r="R34" i="37" s="1"/>
  <c r="G34" i="37"/>
  <c r="B34" i="37"/>
  <c r="A34" i="37"/>
  <c r="W33" i="37"/>
  <c r="V33" i="37"/>
  <c r="U33" i="37"/>
  <c r="Q33" i="37"/>
  <c r="L33" i="37"/>
  <c r="R33" i="37" s="1"/>
  <c r="G33" i="37"/>
  <c r="B33" i="37"/>
  <c r="A33" i="37"/>
  <c r="V32" i="37"/>
  <c r="U32" i="37"/>
  <c r="W32" i="37" s="1"/>
  <c r="Q32" i="37"/>
  <c r="L32" i="37"/>
  <c r="G32" i="37"/>
  <c r="R32" i="37" s="1"/>
  <c r="B32" i="37"/>
  <c r="A32" i="37"/>
  <c r="V31" i="37"/>
  <c r="U31" i="37"/>
  <c r="W31" i="37" s="1"/>
  <c r="Q31" i="37"/>
  <c r="L31" i="37"/>
  <c r="G31" i="37"/>
  <c r="R31" i="37" s="1"/>
  <c r="B31" i="37"/>
  <c r="A31" i="37"/>
  <c r="V30" i="37"/>
  <c r="U30" i="37"/>
  <c r="W30" i="37" s="1"/>
  <c r="Q30" i="37"/>
  <c r="L30" i="37"/>
  <c r="R30" i="37" s="1"/>
  <c r="G30" i="37"/>
  <c r="B30" i="37"/>
  <c r="A30" i="37"/>
  <c r="W29" i="37"/>
  <c r="V29" i="37"/>
  <c r="U29" i="37"/>
  <c r="Q29" i="37"/>
  <c r="R29" i="37" s="1"/>
  <c r="L29" i="37"/>
  <c r="G29" i="37"/>
  <c r="B29" i="37"/>
  <c r="A29" i="37"/>
  <c r="V28" i="37"/>
  <c r="U28" i="37"/>
  <c r="W28" i="37" s="1"/>
  <c r="Q28" i="37"/>
  <c r="L28" i="37"/>
  <c r="G28" i="37"/>
  <c r="R28" i="37" s="1"/>
  <c r="B28" i="37"/>
  <c r="A28" i="37"/>
  <c r="V27" i="37"/>
  <c r="U27" i="37"/>
  <c r="W27" i="37" s="1"/>
  <c r="Q27" i="37"/>
  <c r="L27" i="37"/>
  <c r="G27" i="37"/>
  <c r="R27" i="37" s="1"/>
  <c r="B27" i="37"/>
  <c r="A27" i="37"/>
  <c r="W26" i="37"/>
  <c r="V26" i="37"/>
  <c r="U26" i="37"/>
  <c r="Q26" i="37"/>
  <c r="L26" i="37"/>
  <c r="R26" i="37" s="1"/>
  <c r="G26" i="37"/>
  <c r="B26" i="37"/>
  <c r="A26" i="37"/>
  <c r="W25" i="37"/>
  <c r="V25" i="37"/>
  <c r="U25" i="37"/>
  <c r="Q25" i="37"/>
  <c r="L25" i="37"/>
  <c r="R25" i="37" s="1"/>
  <c r="G25" i="37"/>
  <c r="B25" i="37"/>
  <c r="A25" i="37"/>
  <c r="V24" i="37"/>
  <c r="U24" i="37"/>
  <c r="W24" i="37" s="1"/>
  <c r="Q24" i="37"/>
  <c r="L24" i="37"/>
  <c r="G24" i="37"/>
  <c r="R24" i="37" s="1"/>
  <c r="B24" i="37"/>
  <c r="A24" i="37"/>
  <c r="V23" i="37"/>
  <c r="U23" i="37"/>
  <c r="W23" i="37" s="1"/>
  <c r="Q23" i="37"/>
  <c r="L23" i="37"/>
  <c r="G23" i="37"/>
  <c r="R23" i="37" s="1"/>
  <c r="B23" i="37"/>
  <c r="A23" i="37"/>
  <c r="W22" i="37"/>
  <c r="V22" i="37"/>
  <c r="U22" i="37"/>
  <c r="Q22" i="37"/>
  <c r="L22" i="37"/>
  <c r="R22" i="37" s="1"/>
  <c r="G22" i="37"/>
  <c r="B22" i="37"/>
  <c r="A22" i="37"/>
  <c r="W21" i="37"/>
  <c r="V21" i="37"/>
  <c r="U21" i="37"/>
  <c r="Q21" i="37"/>
  <c r="R21" i="37" s="1"/>
  <c r="L21" i="37"/>
  <c r="G21" i="37"/>
  <c r="B21" i="37"/>
  <c r="A21" i="37"/>
  <c r="V20" i="37"/>
  <c r="U20" i="37"/>
  <c r="W20" i="37" s="1"/>
  <c r="Q20" i="37"/>
  <c r="L20" i="37"/>
  <c r="G20" i="37"/>
  <c r="R20" i="37" s="1"/>
  <c r="B20" i="37"/>
  <c r="A20" i="37"/>
  <c r="V19" i="37"/>
  <c r="U19" i="37"/>
  <c r="W19" i="37" s="1"/>
  <c r="Q19" i="37"/>
  <c r="L19" i="37"/>
  <c r="G19" i="37"/>
  <c r="R19" i="37" s="1"/>
  <c r="B19" i="37"/>
  <c r="A19" i="37"/>
  <c r="W18" i="37"/>
  <c r="V18" i="37"/>
  <c r="U18" i="37"/>
  <c r="Q18" i="37"/>
  <c r="L18" i="37"/>
  <c r="R18" i="37" s="1"/>
  <c r="G18" i="37"/>
  <c r="B18" i="37"/>
  <c r="A18" i="37"/>
  <c r="W17" i="37"/>
  <c r="V17" i="37"/>
  <c r="U17" i="37"/>
  <c r="Q17" i="37"/>
  <c r="R17" i="37" s="1"/>
  <c r="L17" i="37"/>
  <c r="G17" i="37"/>
  <c r="B17" i="37"/>
  <c r="A17" i="37"/>
  <c r="V16" i="37"/>
  <c r="U16" i="37"/>
  <c r="W16" i="37" s="1"/>
  <c r="Q16" i="37"/>
  <c r="R16" i="37" s="1"/>
  <c r="L16" i="37"/>
  <c r="G16" i="37"/>
  <c r="B16" i="37"/>
  <c r="A16" i="37"/>
  <c r="V15" i="37"/>
  <c r="U15" i="37"/>
  <c r="W15" i="37" s="1"/>
  <c r="Q15" i="37"/>
  <c r="L15" i="37"/>
  <c r="G15" i="37"/>
  <c r="R15" i="37" s="1"/>
  <c r="B15" i="37"/>
  <c r="A15" i="37"/>
  <c r="W14" i="37"/>
  <c r="V14" i="37"/>
  <c r="U14" i="37"/>
  <c r="Q14" i="37"/>
  <c r="L14" i="37"/>
  <c r="R14" i="37" s="1"/>
  <c r="G14" i="37"/>
  <c r="B14" i="37"/>
  <c r="A14" i="37"/>
  <c r="W13" i="37"/>
  <c r="V13" i="37"/>
  <c r="U13" i="37"/>
  <c r="Q13" i="37"/>
  <c r="R13" i="37" s="1"/>
  <c r="L13" i="37"/>
  <c r="G13" i="37"/>
  <c r="B13" i="37"/>
  <c r="A13" i="37"/>
  <c r="V12" i="37"/>
  <c r="U12" i="37"/>
  <c r="W12" i="37" s="1"/>
  <c r="Q12" i="37"/>
  <c r="R12" i="37" s="1"/>
  <c r="L12" i="37"/>
  <c r="G12" i="37"/>
  <c r="B12" i="37"/>
  <c r="A12" i="37"/>
  <c r="V11" i="37"/>
  <c r="U11" i="37"/>
  <c r="W11" i="37" s="1"/>
  <c r="Q11" i="37"/>
  <c r="L11" i="37"/>
  <c r="G11" i="37"/>
  <c r="R11" i="37" s="1"/>
  <c r="B11" i="37"/>
  <c r="A11" i="37"/>
  <c r="W10" i="37"/>
  <c r="V10" i="37"/>
  <c r="U10" i="37"/>
  <c r="Q10" i="37"/>
  <c r="L10" i="37"/>
  <c r="R10" i="37" s="1"/>
  <c r="G10" i="37"/>
  <c r="B10" i="37"/>
  <c r="A10" i="37"/>
  <c r="W9" i="37"/>
  <c r="V9" i="37"/>
  <c r="U9" i="37"/>
  <c r="Q9" i="37"/>
  <c r="R9" i="37" s="1"/>
  <c r="L9" i="37"/>
  <c r="G9" i="37"/>
  <c r="B9" i="37"/>
  <c r="A9" i="37"/>
  <c r="V8" i="37"/>
  <c r="U8" i="37"/>
  <c r="W8" i="37" s="1"/>
  <c r="Q8" i="37"/>
  <c r="R8" i="37" s="1"/>
  <c r="L8" i="37"/>
  <c r="G8" i="37"/>
  <c r="B8" i="37"/>
  <c r="A8" i="37"/>
  <c r="V7" i="37"/>
  <c r="U7" i="37"/>
  <c r="W7" i="37" s="1"/>
  <c r="Q7" i="37"/>
  <c r="L7" i="37"/>
  <c r="G7" i="37"/>
  <c r="R7" i="37" s="1"/>
  <c r="B7" i="37"/>
  <c r="A7" i="37"/>
  <c r="W6" i="37"/>
  <c r="V6" i="37"/>
  <c r="U6" i="37"/>
  <c r="Q6" i="37"/>
  <c r="L6" i="37"/>
  <c r="R6" i="37" s="1"/>
  <c r="G6" i="37"/>
  <c r="B6" i="37"/>
  <c r="A6" i="37"/>
  <c r="V5" i="37"/>
  <c r="U5" i="37"/>
  <c r="Q5" i="37"/>
  <c r="W5" i="37" s="1"/>
  <c r="L5" i="37"/>
  <c r="G5" i="37"/>
  <c r="B5" i="37"/>
  <c r="A5" i="37"/>
  <c r="B3" i="37"/>
  <c r="T2" i="37"/>
  <c r="V36" i="36"/>
  <c r="U36" i="36"/>
  <c r="W36" i="36" s="1"/>
  <c r="Q36" i="36"/>
  <c r="R36" i="36" s="1"/>
  <c r="L36" i="36"/>
  <c r="G36" i="36"/>
  <c r="B36" i="36"/>
  <c r="A36" i="36"/>
  <c r="W35" i="36"/>
  <c r="V35" i="36"/>
  <c r="U35" i="36"/>
  <c r="Q35" i="36"/>
  <c r="L35" i="36"/>
  <c r="G35" i="36"/>
  <c r="R35" i="36" s="1"/>
  <c r="B35" i="36"/>
  <c r="A35" i="36"/>
  <c r="V34" i="36"/>
  <c r="U34" i="36"/>
  <c r="W34" i="36" s="1"/>
  <c r="Q34" i="36"/>
  <c r="R34" i="36" s="1"/>
  <c r="L34" i="36"/>
  <c r="G34" i="36"/>
  <c r="B34" i="36"/>
  <c r="A34" i="36"/>
  <c r="W33" i="36"/>
  <c r="V33" i="36"/>
  <c r="U33" i="36"/>
  <c r="Q33" i="36"/>
  <c r="L33" i="36"/>
  <c r="G33" i="36"/>
  <c r="R33" i="36" s="1"/>
  <c r="B33" i="36"/>
  <c r="A33" i="36"/>
  <c r="V32" i="36"/>
  <c r="U32" i="36"/>
  <c r="W32" i="36" s="1"/>
  <c r="Q32" i="36"/>
  <c r="R32" i="36" s="1"/>
  <c r="L32" i="36"/>
  <c r="G32" i="36"/>
  <c r="B32" i="36"/>
  <c r="A32" i="36"/>
  <c r="W31" i="36"/>
  <c r="V31" i="36"/>
  <c r="U31" i="36"/>
  <c r="Q31" i="36"/>
  <c r="L31" i="36"/>
  <c r="G31" i="36"/>
  <c r="R31" i="36" s="1"/>
  <c r="B31" i="36"/>
  <c r="A31" i="36"/>
  <c r="V30" i="36"/>
  <c r="U30" i="36"/>
  <c r="W30" i="36" s="1"/>
  <c r="Q30" i="36"/>
  <c r="R30" i="36" s="1"/>
  <c r="L30" i="36"/>
  <c r="G30" i="36"/>
  <c r="B30" i="36"/>
  <c r="A30" i="36"/>
  <c r="W29" i="36"/>
  <c r="V29" i="36"/>
  <c r="U29" i="36"/>
  <c r="Q29" i="36"/>
  <c r="L29" i="36"/>
  <c r="G29" i="36"/>
  <c r="R29" i="36" s="1"/>
  <c r="B29" i="36"/>
  <c r="A29" i="36"/>
  <c r="V28" i="36"/>
  <c r="U28" i="36"/>
  <c r="W28" i="36" s="1"/>
  <c r="Q28" i="36"/>
  <c r="R28" i="36" s="1"/>
  <c r="L28" i="36"/>
  <c r="G28" i="36"/>
  <c r="B28" i="36"/>
  <c r="A28" i="36"/>
  <c r="W27" i="36"/>
  <c r="V27" i="36"/>
  <c r="U27" i="36"/>
  <c r="Q27" i="36"/>
  <c r="L27" i="36"/>
  <c r="G27" i="36"/>
  <c r="R27" i="36" s="1"/>
  <c r="B27" i="36"/>
  <c r="A27" i="36"/>
  <c r="V26" i="36"/>
  <c r="U26" i="36"/>
  <c r="W26" i="36" s="1"/>
  <c r="Q26" i="36"/>
  <c r="R26" i="36" s="1"/>
  <c r="L26" i="36"/>
  <c r="G26" i="36"/>
  <c r="B26" i="36"/>
  <c r="A26" i="36"/>
  <c r="W25" i="36"/>
  <c r="V25" i="36"/>
  <c r="U25" i="36"/>
  <c r="Q25" i="36"/>
  <c r="L25" i="36"/>
  <c r="G25" i="36"/>
  <c r="R25" i="36" s="1"/>
  <c r="B25" i="36"/>
  <c r="A25" i="36"/>
  <c r="V24" i="36"/>
  <c r="U24" i="36"/>
  <c r="W24" i="36" s="1"/>
  <c r="Q24" i="36"/>
  <c r="R24" i="36" s="1"/>
  <c r="L24" i="36"/>
  <c r="G24" i="36"/>
  <c r="B24" i="36"/>
  <c r="A24" i="36"/>
  <c r="W23" i="36"/>
  <c r="V23" i="36"/>
  <c r="U23" i="36"/>
  <c r="Q23" i="36"/>
  <c r="L23" i="36"/>
  <c r="G23" i="36"/>
  <c r="R23" i="36" s="1"/>
  <c r="B23" i="36"/>
  <c r="A23" i="36"/>
  <c r="V22" i="36"/>
  <c r="U22" i="36"/>
  <c r="W22" i="36" s="1"/>
  <c r="Q22" i="36"/>
  <c r="R22" i="36" s="1"/>
  <c r="L22" i="36"/>
  <c r="G22" i="36"/>
  <c r="B22" i="36"/>
  <c r="A22" i="36"/>
  <c r="W21" i="36"/>
  <c r="V21" i="36"/>
  <c r="U21" i="36"/>
  <c r="Q21" i="36"/>
  <c r="L21" i="36"/>
  <c r="G21" i="36"/>
  <c r="R21" i="36" s="1"/>
  <c r="B21" i="36"/>
  <c r="A21" i="36"/>
  <c r="V20" i="36"/>
  <c r="U20" i="36"/>
  <c r="W20" i="36" s="1"/>
  <c r="Q20" i="36"/>
  <c r="R20" i="36" s="1"/>
  <c r="L20" i="36"/>
  <c r="G20" i="36"/>
  <c r="B20" i="36"/>
  <c r="A20" i="36"/>
  <c r="W19" i="36"/>
  <c r="V19" i="36"/>
  <c r="U19" i="36"/>
  <c r="Q19" i="36"/>
  <c r="L19" i="36"/>
  <c r="G19" i="36"/>
  <c r="R19" i="36" s="1"/>
  <c r="B19" i="36"/>
  <c r="A19" i="36"/>
  <c r="V18" i="36"/>
  <c r="U18" i="36"/>
  <c r="W18" i="36" s="1"/>
  <c r="Q18" i="36"/>
  <c r="R18" i="36" s="1"/>
  <c r="L18" i="36"/>
  <c r="G18" i="36"/>
  <c r="B18" i="36"/>
  <c r="A18" i="36"/>
  <c r="W17" i="36"/>
  <c r="V17" i="36"/>
  <c r="U17" i="36"/>
  <c r="Q17" i="36"/>
  <c r="L17" i="36"/>
  <c r="G17" i="36"/>
  <c r="R17" i="36" s="1"/>
  <c r="B17" i="36"/>
  <c r="A17" i="36"/>
  <c r="V16" i="36"/>
  <c r="U16" i="36"/>
  <c r="W16" i="36" s="1"/>
  <c r="Q16" i="36"/>
  <c r="R16" i="36" s="1"/>
  <c r="L16" i="36"/>
  <c r="G16" i="36"/>
  <c r="B16" i="36"/>
  <c r="A16" i="36"/>
  <c r="W15" i="36"/>
  <c r="V15" i="36"/>
  <c r="U15" i="36"/>
  <c r="Q15" i="36"/>
  <c r="L15" i="36"/>
  <c r="G15" i="36"/>
  <c r="R15" i="36" s="1"/>
  <c r="B15" i="36"/>
  <c r="A15" i="36"/>
  <c r="V14" i="36"/>
  <c r="U14" i="36"/>
  <c r="W14" i="36" s="1"/>
  <c r="Q14" i="36"/>
  <c r="R14" i="36" s="1"/>
  <c r="L14" i="36"/>
  <c r="G14" i="36"/>
  <c r="B14" i="36"/>
  <c r="A14" i="36"/>
  <c r="W13" i="36"/>
  <c r="V13" i="36"/>
  <c r="U13" i="36"/>
  <c r="Q13" i="36"/>
  <c r="L13" i="36"/>
  <c r="G13" i="36"/>
  <c r="R13" i="36" s="1"/>
  <c r="B13" i="36"/>
  <c r="A13" i="36"/>
  <c r="V12" i="36"/>
  <c r="U12" i="36"/>
  <c r="W12" i="36" s="1"/>
  <c r="Q12" i="36"/>
  <c r="R12" i="36" s="1"/>
  <c r="L12" i="36"/>
  <c r="G12" i="36"/>
  <c r="B12" i="36"/>
  <c r="A12" i="36"/>
  <c r="W11" i="36"/>
  <c r="V11" i="36"/>
  <c r="U11" i="36"/>
  <c r="Q11" i="36"/>
  <c r="L11" i="36"/>
  <c r="G11" i="36"/>
  <c r="R11" i="36" s="1"/>
  <c r="B11" i="36"/>
  <c r="A11" i="36"/>
  <c r="V10" i="36"/>
  <c r="U10" i="36"/>
  <c r="W10" i="36" s="1"/>
  <c r="Q10" i="36"/>
  <c r="R10" i="36" s="1"/>
  <c r="L10" i="36"/>
  <c r="G10" i="36"/>
  <c r="B10" i="36"/>
  <c r="A10" i="36"/>
  <c r="W9" i="36"/>
  <c r="V9" i="36"/>
  <c r="U9" i="36"/>
  <c r="Q9" i="36"/>
  <c r="L9" i="36"/>
  <c r="G9" i="36"/>
  <c r="R9" i="36" s="1"/>
  <c r="B9" i="36"/>
  <c r="A9" i="36"/>
  <c r="V8" i="36"/>
  <c r="U8" i="36"/>
  <c r="W8" i="36" s="1"/>
  <c r="Q8" i="36"/>
  <c r="R8" i="36" s="1"/>
  <c r="L8" i="36"/>
  <c r="G8" i="36"/>
  <c r="B8" i="36"/>
  <c r="A8" i="36"/>
  <c r="W7" i="36"/>
  <c r="V7" i="36"/>
  <c r="U7" i="36"/>
  <c r="Q7" i="36"/>
  <c r="L7" i="36"/>
  <c r="G7" i="36"/>
  <c r="R7" i="36" s="1"/>
  <c r="B7" i="36"/>
  <c r="A7" i="36"/>
  <c r="V6" i="36"/>
  <c r="U6" i="36"/>
  <c r="W6" i="36" s="1"/>
  <c r="Q6" i="36"/>
  <c r="R6" i="36" s="1"/>
  <c r="L6" i="36"/>
  <c r="G6" i="36"/>
  <c r="B6" i="36"/>
  <c r="A6" i="36"/>
  <c r="V5" i="36"/>
  <c r="U5" i="36"/>
  <c r="Q5" i="36"/>
  <c r="W5" i="36" s="1"/>
  <c r="L5" i="36"/>
  <c r="G5" i="36"/>
  <c r="R5" i="36" s="1"/>
  <c r="B5" i="36"/>
  <c r="A5" i="36"/>
  <c r="B3" i="36"/>
  <c r="T2" i="36"/>
  <c r="V36" i="35"/>
  <c r="U36" i="35"/>
  <c r="W36" i="35" s="1"/>
  <c r="Q36" i="35"/>
  <c r="R36" i="35" s="1"/>
  <c r="L36" i="35"/>
  <c r="G36" i="35"/>
  <c r="B36" i="35"/>
  <c r="A36" i="35"/>
  <c r="W35" i="35"/>
  <c r="V35" i="35"/>
  <c r="U35" i="35"/>
  <c r="Q35" i="35"/>
  <c r="L35" i="35"/>
  <c r="G35" i="35"/>
  <c r="R35" i="35" s="1"/>
  <c r="B35" i="35"/>
  <c r="A35" i="35"/>
  <c r="V34" i="35"/>
  <c r="U34" i="35"/>
  <c r="W34" i="35" s="1"/>
  <c r="Q34" i="35"/>
  <c r="R34" i="35" s="1"/>
  <c r="L34" i="35"/>
  <c r="G34" i="35"/>
  <c r="B34" i="35"/>
  <c r="A34" i="35"/>
  <c r="W33" i="35"/>
  <c r="V33" i="35"/>
  <c r="U33" i="35"/>
  <c r="Q33" i="35"/>
  <c r="L33" i="35"/>
  <c r="G33" i="35"/>
  <c r="R33" i="35" s="1"/>
  <c r="B33" i="35"/>
  <c r="A33" i="35"/>
  <c r="V32" i="35"/>
  <c r="U32" i="35"/>
  <c r="W32" i="35" s="1"/>
  <c r="Q32" i="35"/>
  <c r="R32" i="35" s="1"/>
  <c r="L32" i="35"/>
  <c r="G32" i="35"/>
  <c r="B32" i="35"/>
  <c r="A32" i="35"/>
  <c r="W31" i="35"/>
  <c r="V31" i="35"/>
  <c r="U31" i="35"/>
  <c r="Q31" i="35"/>
  <c r="L31" i="35"/>
  <c r="G31" i="35"/>
  <c r="R31" i="35" s="1"/>
  <c r="B31" i="35"/>
  <c r="A31" i="35"/>
  <c r="V30" i="35"/>
  <c r="U30" i="35"/>
  <c r="W30" i="35" s="1"/>
  <c r="Q30" i="35"/>
  <c r="R30" i="35" s="1"/>
  <c r="L30" i="35"/>
  <c r="G30" i="35"/>
  <c r="B30" i="35"/>
  <c r="A30" i="35"/>
  <c r="W29" i="35"/>
  <c r="V29" i="35"/>
  <c r="U29" i="35"/>
  <c r="Q29" i="35"/>
  <c r="L29" i="35"/>
  <c r="G29" i="35"/>
  <c r="R29" i="35" s="1"/>
  <c r="B29" i="35"/>
  <c r="A29" i="35"/>
  <c r="V28" i="35"/>
  <c r="U28" i="35"/>
  <c r="W28" i="35" s="1"/>
  <c r="Q28" i="35"/>
  <c r="R28" i="35" s="1"/>
  <c r="L28" i="35"/>
  <c r="G28" i="35"/>
  <c r="B28" i="35"/>
  <c r="A28" i="35"/>
  <c r="W27" i="35"/>
  <c r="V27" i="35"/>
  <c r="U27" i="35"/>
  <c r="Q27" i="35"/>
  <c r="L27" i="35"/>
  <c r="G27" i="35"/>
  <c r="R27" i="35" s="1"/>
  <c r="B27" i="35"/>
  <c r="A27" i="35"/>
  <c r="V26" i="35"/>
  <c r="U26" i="35"/>
  <c r="W26" i="35" s="1"/>
  <c r="Q26" i="35"/>
  <c r="R26" i="35" s="1"/>
  <c r="L26" i="35"/>
  <c r="G26" i="35"/>
  <c r="B26" i="35"/>
  <c r="A26" i="35"/>
  <c r="W25" i="35"/>
  <c r="V25" i="35"/>
  <c r="U25" i="35"/>
  <c r="Q25" i="35"/>
  <c r="L25" i="35"/>
  <c r="G25" i="35"/>
  <c r="R25" i="35" s="1"/>
  <c r="B25" i="35"/>
  <c r="A25" i="35"/>
  <c r="V24" i="35"/>
  <c r="U24" i="35"/>
  <c r="W24" i="35" s="1"/>
  <c r="Q24" i="35"/>
  <c r="R24" i="35" s="1"/>
  <c r="L24" i="35"/>
  <c r="G24" i="35"/>
  <c r="B24" i="35"/>
  <c r="A24" i="35"/>
  <c r="W23" i="35"/>
  <c r="V23" i="35"/>
  <c r="U23" i="35"/>
  <c r="Q23" i="35"/>
  <c r="L23" i="35"/>
  <c r="G23" i="35"/>
  <c r="R23" i="35" s="1"/>
  <c r="B23" i="35"/>
  <c r="A23" i="35"/>
  <c r="V22" i="35"/>
  <c r="U22" i="35"/>
  <c r="W22" i="35" s="1"/>
  <c r="Q22" i="35"/>
  <c r="R22" i="35" s="1"/>
  <c r="L22" i="35"/>
  <c r="G22" i="35"/>
  <c r="B22" i="35"/>
  <c r="A22" i="35"/>
  <c r="W21" i="35"/>
  <c r="V21" i="35"/>
  <c r="U21" i="35"/>
  <c r="Q21" i="35"/>
  <c r="L21" i="35"/>
  <c r="G21" i="35"/>
  <c r="R21" i="35" s="1"/>
  <c r="B21" i="35"/>
  <c r="A21" i="35"/>
  <c r="V20" i="35"/>
  <c r="U20" i="35"/>
  <c r="W20" i="35" s="1"/>
  <c r="Q20" i="35"/>
  <c r="R20" i="35" s="1"/>
  <c r="L20" i="35"/>
  <c r="G20" i="35"/>
  <c r="B20" i="35"/>
  <c r="A20" i="35"/>
  <c r="W19" i="35"/>
  <c r="V19" i="35"/>
  <c r="U19" i="35"/>
  <c r="Q19" i="35"/>
  <c r="L19" i="35"/>
  <c r="G19" i="35"/>
  <c r="R19" i="35" s="1"/>
  <c r="B19" i="35"/>
  <c r="A19" i="35"/>
  <c r="V18" i="35"/>
  <c r="U18" i="35"/>
  <c r="W18" i="35" s="1"/>
  <c r="Q18" i="35"/>
  <c r="R18" i="35" s="1"/>
  <c r="L18" i="35"/>
  <c r="G18" i="35"/>
  <c r="B18" i="35"/>
  <c r="A18" i="35"/>
  <c r="W17" i="35"/>
  <c r="V17" i="35"/>
  <c r="U17" i="35"/>
  <c r="Q17" i="35"/>
  <c r="L17" i="35"/>
  <c r="G17" i="35"/>
  <c r="R17" i="35" s="1"/>
  <c r="B17" i="35"/>
  <c r="A17" i="35"/>
  <c r="V16" i="35"/>
  <c r="U16" i="35"/>
  <c r="W16" i="35" s="1"/>
  <c r="Q16" i="35"/>
  <c r="R16" i="35" s="1"/>
  <c r="L16" i="35"/>
  <c r="G16" i="35"/>
  <c r="B16" i="35"/>
  <c r="A16" i="35"/>
  <c r="W15" i="35"/>
  <c r="V15" i="35"/>
  <c r="U15" i="35"/>
  <c r="Q15" i="35"/>
  <c r="L15" i="35"/>
  <c r="G15" i="35"/>
  <c r="R15" i="35" s="1"/>
  <c r="B15" i="35"/>
  <c r="A15" i="35"/>
  <c r="V14" i="35"/>
  <c r="U14" i="35"/>
  <c r="W14" i="35" s="1"/>
  <c r="Q14" i="35"/>
  <c r="R14" i="35" s="1"/>
  <c r="L14" i="35"/>
  <c r="G14" i="35"/>
  <c r="B14" i="35"/>
  <c r="A14" i="35"/>
  <c r="W13" i="35"/>
  <c r="V13" i="35"/>
  <c r="U13" i="35"/>
  <c r="Q13" i="35"/>
  <c r="L13" i="35"/>
  <c r="G13" i="35"/>
  <c r="R13" i="35" s="1"/>
  <c r="B13" i="35"/>
  <c r="A13" i="35"/>
  <c r="V12" i="35"/>
  <c r="U12" i="35"/>
  <c r="W12" i="35" s="1"/>
  <c r="Q12" i="35"/>
  <c r="R12" i="35" s="1"/>
  <c r="L12" i="35"/>
  <c r="G12" i="35"/>
  <c r="B12" i="35"/>
  <c r="A12" i="35"/>
  <c r="W11" i="35"/>
  <c r="V11" i="35"/>
  <c r="U11" i="35"/>
  <c r="Q11" i="35"/>
  <c r="L11" i="35"/>
  <c r="G11" i="35"/>
  <c r="R11" i="35" s="1"/>
  <c r="B11" i="35"/>
  <c r="A11" i="35"/>
  <c r="V10" i="35"/>
  <c r="U10" i="35"/>
  <c r="W10" i="35" s="1"/>
  <c r="Q10" i="35"/>
  <c r="R10" i="35" s="1"/>
  <c r="L10" i="35"/>
  <c r="G10" i="35"/>
  <c r="B10" i="35"/>
  <c r="A10" i="35"/>
  <c r="W9" i="35"/>
  <c r="V9" i="35"/>
  <c r="U9" i="35"/>
  <c r="Q9" i="35"/>
  <c r="L9" i="35"/>
  <c r="G9" i="35"/>
  <c r="R9" i="35" s="1"/>
  <c r="B9" i="35"/>
  <c r="A9" i="35"/>
  <c r="V8" i="35"/>
  <c r="U8" i="35"/>
  <c r="W8" i="35" s="1"/>
  <c r="Q8" i="35"/>
  <c r="R8" i="35" s="1"/>
  <c r="L8" i="35"/>
  <c r="G8" i="35"/>
  <c r="B8" i="35"/>
  <c r="A8" i="35"/>
  <c r="W7" i="35"/>
  <c r="V7" i="35"/>
  <c r="U7" i="35"/>
  <c r="Q7" i="35"/>
  <c r="L7" i="35"/>
  <c r="G7" i="35"/>
  <c r="R7" i="35" s="1"/>
  <c r="B7" i="35"/>
  <c r="A7" i="35"/>
  <c r="V6" i="35"/>
  <c r="U6" i="35"/>
  <c r="W6" i="35" s="1"/>
  <c r="Q6" i="35"/>
  <c r="R6" i="35" s="1"/>
  <c r="L6" i="35"/>
  <c r="G6" i="35"/>
  <c r="B6" i="35"/>
  <c r="A6" i="35"/>
  <c r="V5" i="35"/>
  <c r="U5" i="35"/>
  <c r="Q5" i="35"/>
  <c r="W5" i="35" s="1"/>
  <c r="L5" i="35"/>
  <c r="G5" i="35"/>
  <c r="R5" i="35" s="1"/>
  <c r="B5" i="35"/>
  <c r="A5" i="35"/>
  <c r="B3" i="35"/>
  <c r="T2" i="35"/>
  <c r="V36" i="34"/>
  <c r="U36" i="34"/>
  <c r="W36" i="34" s="1"/>
  <c r="Q36" i="34"/>
  <c r="L36" i="34"/>
  <c r="G36" i="34"/>
  <c r="R36" i="34" s="1"/>
  <c r="B36" i="34"/>
  <c r="A36" i="34"/>
  <c r="V35" i="34"/>
  <c r="U35" i="34"/>
  <c r="W35" i="34" s="1"/>
  <c r="Q35" i="34"/>
  <c r="L35" i="34"/>
  <c r="G35" i="34"/>
  <c r="R35" i="34" s="1"/>
  <c r="B35" i="34"/>
  <c r="A35" i="34"/>
  <c r="V34" i="34"/>
  <c r="U34" i="34"/>
  <c r="W34" i="34" s="1"/>
  <c r="Q34" i="34"/>
  <c r="L34" i="34"/>
  <c r="G34" i="34"/>
  <c r="R34" i="34" s="1"/>
  <c r="B34" i="34"/>
  <c r="A34" i="34"/>
  <c r="W33" i="34"/>
  <c r="V33" i="34"/>
  <c r="U33" i="34"/>
  <c r="Q33" i="34"/>
  <c r="L33" i="34"/>
  <c r="R33" i="34" s="1"/>
  <c r="G33" i="34"/>
  <c r="B33" i="34"/>
  <c r="A33" i="34"/>
  <c r="V32" i="34"/>
  <c r="U32" i="34"/>
  <c r="W32" i="34" s="1"/>
  <c r="R32" i="34"/>
  <c r="Q32" i="34"/>
  <c r="L32" i="34"/>
  <c r="G32" i="34"/>
  <c r="B32" i="34"/>
  <c r="A32" i="34"/>
  <c r="V31" i="34"/>
  <c r="U31" i="34"/>
  <c r="W31" i="34" s="1"/>
  <c r="Q31" i="34"/>
  <c r="L31" i="34"/>
  <c r="G31" i="34"/>
  <c r="R31" i="34" s="1"/>
  <c r="B31" i="34"/>
  <c r="A31" i="34"/>
  <c r="W30" i="34"/>
  <c r="V30" i="34"/>
  <c r="U30" i="34"/>
  <c r="Q30" i="34"/>
  <c r="L30" i="34"/>
  <c r="G30" i="34"/>
  <c r="R30" i="34" s="1"/>
  <c r="B30" i="34"/>
  <c r="A30" i="34"/>
  <c r="W29" i="34"/>
  <c r="V29" i="34"/>
  <c r="U29" i="34"/>
  <c r="Q29" i="34"/>
  <c r="R29" i="34" s="1"/>
  <c r="L29" i="34"/>
  <c r="G29" i="34"/>
  <c r="B29" i="34"/>
  <c r="A29" i="34"/>
  <c r="V28" i="34"/>
  <c r="U28" i="34"/>
  <c r="W28" i="34" s="1"/>
  <c r="R28" i="34"/>
  <c r="Q28" i="34"/>
  <c r="L28" i="34"/>
  <c r="G28" i="34"/>
  <c r="B28" i="34"/>
  <c r="A28" i="34"/>
  <c r="V27" i="34"/>
  <c r="U27" i="34"/>
  <c r="W27" i="34" s="1"/>
  <c r="Q27" i="34"/>
  <c r="L27" i="34"/>
  <c r="G27" i="34"/>
  <c r="R27" i="34" s="1"/>
  <c r="B27" i="34"/>
  <c r="A27" i="34"/>
  <c r="W26" i="34"/>
  <c r="V26" i="34"/>
  <c r="U26" i="34"/>
  <c r="Q26" i="34"/>
  <c r="L26" i="34"/>
  <c r="R26" i="34" s="1"/>
  <c r="G26" i="34"/>
  <c r="B26" i="34"/>
  <c r="A26" i="34"/>
  <c r="W25" i="34"/>
  <c r="V25" i="34"/>
  <c r="U25" i="34"/>
  <c r="Q25" i="34"/>
  <c r="R25" i="34" s="1"/>
  <c r="L25" i="34"/>
  <c r="G25" i="34"/>
  <c r="B25" i="34"/>
  <c r="A25" i="34"/>
  <c r="V24" i="34"/>
  <c r="U24" i="34"/>
  <c r="W24" i="34" s="1"/>
  <c r="R24" i="34"/>
  <c r="Q24" i="34"/>
  <c r="L24" i="34"/>
  <c r="G24" i="34"/>
  <c r="B24" i="34"/>
  <c r="A24" i="34"/>
  <c r="V23" i="34"/>
  <c r="U23" i="34"/>
  <c r="W23" i="34" s="1"/>
  <c r="Q23" i="34"/>
  <c r="L23" i="34"/>
  <c r="G23" i="34"/>
  <c r="R23" i="34" s="1"/>
  <c r="B23" i="34"/>
  <c r="A23" i="34"/>
  <c r="W22" i="34"/>
  <c r="V22" i="34"/>
  <c r="U22" i="34"/>
  <c r="Q22" i="34"/>
  <c r="L22" i="34"/>
  <c r="R22" i="34" s="1"/>
  <c r="G22" i="34"/>
  <c r="B22" i="34"/>
  <c r="A22" i="34"/>
  <c r="W21" i="34"/>
  <c r="V21" i="34"/>
  <c r="U21" i="34"/>
  <c r="Q21" i="34"/>
  <c r="R21" i="34" s="1"/>
  <c r="L21" i="34"/>
  <c r="G21" i="34"/>
  <c r="B21" i="34"/>
  <c r="A21" i="34"/>
  <c r="V20" i="34"/>
  <c r="U20" i="34"/>
  <c r="W20" i="34" s="1"/>
  <c r="R20" i="34"/>
  <c r="Q20" i="34"/>
  <c r="L20" i="34"/>
  <c r="G20" i="34"/>
  <c r="B20" i="34"/>
  <c r="A20" i="34"/>
  <c r="V19" i="34"/>
  <c r="U19" i="34"/>
  <c r="W19" i="34" s="1"/>
  <c r="Q19" i="34"/>
  <c r="L19" i="34"/>
  <c r="G19" i="34"/>
  <c r="R19" i="34" s="1"/>
  <c r="B19" i="34"/>
  <c r="A19" i="34"/>
  <c r="W18" i="34"/>
  <c r="V18" i="34"/>
  <c r="U18" i="34"/>
  <c r="Q18" i="34"/>
  <c r="L18" i="34"/>
  <c r="R18" i="34" s="1"/>
  <c r="G18" i="34"/>
  <c r="B18" i="34"/>
  <c r="A18" i="34"/>
  <c r="W17" i="34"/>
  <c r="V17" i="34"/>
  <c r="U17" i="34"/>
  <c r="Q17" i="34"/>
  <c r="R17" i="34" s="1"/>
  <c r="L17" i="34"/>
  <c r="G17" i="34"/>
  <c r="B17" i="34"/>
  <c r="A17" i="34"/>
  <c r="V16" i="34"/>
  <c r="U16" i="34"/>
  <c r="W16" i="34" s="1"/>
  <c r="R16" i="34"/>
  <c r="Q16" i="34"/>
  <c r="L16" i="34"/>
  <c r="G16" i="34"/>
  <c r="B16" i="34"/>
  <c r="A16" i="34"/>
  <c r="V15" i="34"/>
  <c r="U15" i="34"/>
  <c r="W15" i="34" s="1"/>
  <c r="Q15" i="34"/>
  <c r="L15" i="34"/>
  <c r="G15" i="34"/>
  <c r="R15" i="34" s="1"/>
  <c r="B15" i="34"/>
  <c r="A15" i="34"/>
  <c r="W14" i="34"/>
  <c r="V14" i="34"/>
  <c r="U14" i="34"/>
  <c r="Q14" i="34"/>
  <c r="L14" i="34"/>
  <c r="R14" i="34" s="1"/>
  <c r="G14" i="34"/>
  <c r="B14" i="34"/>
  <c r="A14" i="34"/>
  <c r="W13" i="34"/>
  <c r="V13" i="34"/>
  <c r="U13" i="34"/>
  <c r="Q13" i="34"/>
  <c r="R13" i="34" s="1"/>
  <c r="L13" i="34"/>
  <c r="G13" i="34"/>
  <c r="B13" i="34"/>
  <c r="A13" i="34"/>
  <c r="V12" i="34"/>
  <c r="U12" i="34"/>
  <c r="W12" i="34" s="1"/>
  <c r="R12" i="34"/>
  <c r="Q12" i="34"/>
  <c r="L12" i="34"/>
  <c r="G12" i="34"/>
  <c r="B12" i="34"/>
  <c r="A12" i="34"/>
  <c r="V11" i="34"/>
  <c r="U11" i="34"/>
  <c r="W11" i="34" s="1"/>
  <c r="Q11" i="34"/>
  <c r="L11" i="34"/>
  <c r="G11" i="34"/>
  <c r="R11" i="34" s="1"/>
  <c r="B11" i="34"/>
  <c r="A11" i="34"/>
  <c r="W10" i="34"/>
  <c r="V10" i="34"/>
  <c r="U10" i="34"/>
  <c r="Q10" i="34"/>
  <c r="L10" i="34"/>
  <c r="R10" i="34" s="1"/>
  <c r="G10" i="34"/>
  <c r="B10" i="34"/>
  <c r="A10" i="34"/>
  <c r="W9" i="34"/>
  <c r="V9" i="34"/>
  <c r="U9" i="34"/>
  <c r="Q9" i="34"/>
  <c r="L9" i="34"/>
  <c r="R9" i="34" s="1"/>
  <c r="G9" i="34"/>
  <c r="B9" i="34"/>
  <c r="A9" i="34"/>
  <c r="V8" i="34"/>
  <c r="U8" i="34"/>
  <c r="W8" i="34" s="1"/>
  <c r="R8" i="34"/>
  <c r="Q8" i="34"/>
  <c r="L8" i="34"/>
  <c r="G8" i="34"/>
  <c r="B8" i="34"/>
  <c r="A8" i="34"/>
  <c r="V7" i="34"/>
  <c r="U7" i="34"/>
  <c r="W7" i="34" s="1"/>
  <c r="Q7" i="34"/>
  <c r="L7" i="34"/>
  <c r="G7" i="34"/>
  <c r="R7" i="34" s="1"/>
  <c r="B7" i="34"/>
  <c r="A7" i="34"/>
  <c r="V6" i="34"/>
  <c r="U6" i="34"/>
  <c r="W6" i="34" s="1"/>
  <c r="Q6" i="34"/>
  <c r="L6" i="34"/>
  <c r="R6" i="34" s="1"/>
  <c r="G6" i="34"/>
  <c r="B6" i="34"/>
  <c r="A6" i="34"/>
  <c r="V5" i="34"/>
  <c r="U5" i="34"/>
  <c r="Q5" i="34"/>
  <c r="W5" i="34" s="1"/>
  <c r="L5" i="34"/>
  <c r="R5" i="34" s="1"/>
  <c r="G5" i="34"/>
  <c r="B5" i="34"/>
  <c r="A5" i="34"/>
  <c r="B3" i="34"/>
  <c r="T2" i="34"/>
  <c r="V36" i="33"/>
  <c r="U36" i="33"/>
  <c r="W36" i="33" s="1"/>
  <c r="Q36" i="33"/>
  <c r="R36" i="33" s="1"/>
  <c r="L36" i="33"/>
  <c r="G36" i="33"/>
  <c r="B36" i="33"/>
  <c r="A36" i="33"/>
  <c r="W35" i="33"/>
  <c r="V35" i="33"/>
  <c r="U35" i="33"/>
  <c r="Q35" i="33"/>
  <c r="L35" i="33"/>
  <c r="G35" i="33"/>
  <c r="R35" i="33" s="1"/>
  <c r="B35" i="33"/>
  <c r="A35" i="33"/>
  <c r="V34" i="33"/>
  <c r="U34" i="33"/>
  <c r="W34" i="33" s="1"/>
  <c r="Q34" i="33"/>
  <c r="R34" i="33" s="1"/>
  <c r="L34" i="33"/>
  <c r="G34" i="33"/>
  <c r="B34" i="33"/>
  <c r="A34" i="33"/>
  <c r="W33" i="33"/>
  <c r="V33" i="33"/>
  <c r="U33" i="33"/>
  <c r="Q33" i="33"/>
  <c r="L33" i="33"/>
  <c r="G33" i="33"/>
  <c r="R33" i="33" s="1"/>
  <c r="B33" i="33"/>
  <c r="A33" i="33"/>
  <c r="V32" i="33"/>
  <c r="U32" i="33"/>
  <c r="W32" i="33" s="1"/>
  <c r="Q32" i="33"/>
  <c r="R32" i="33" s="1"/>
  <c r="L32" i="33"/>
  <c r="G32" i="33"/>
  <c r="B32" i="33"/>
  <c r="A32" i="33"/>
  <c r="W31" i="33"/>
  <c r="V31" i="33"/>
  <c r="U31" i="33"/>
  <c r="Q31" i="33"/>
  <c r="L31" i="33"/>
  <c r="G31" i="33"/>
  <c r="R31" i="33" s="1"/>
  <c r="B31" i="33"/>
  <c r="A31" i="33"/>
  <c r="V30" i="33"/>
  <c r="U30" i="33"/>
  <c r="W30" i="33" s="1"/>
  <c r="Q30" i="33"/>
  <c r="R30" i="33" s="1"/>
  <c r="L30" i="33"/>
  <c r="G30" i="33"/>
  <c r="B30" i="33"/>
  <c r="A30" i="33"/>
  <c r="W29" i="33"/>
  <c r="V29" i="33"/>
  <c r="U29" i="33"/>
  <c r="Q29" i="33"/>
  <c r="L29" i="33"/>
  <c r="G29" i="33"/>
  <c r="R29" i="33" s="1"/>
  <c r="B29" i="33"/>
  <c r="A29" i="33"/>
  <c r="V28" i="33"/>
  <c r="U28" i="33"/>
  <c r="W28" i="33" s="1"/>
  <c r="Q28" i="33"/>
  <c r="R28" i="33" s="1"/>
  <c r="L28" i="33"/>
  <c r="G28" i="33"/>
  <c r="B28" i="33"/>
  <c r="A28" i="33"/>
  <c r="W27" i="33"/>
  <c r="V27" i="33"/>
  <c r="U27" i="33"/>
  <c r="Q27" i="33"/>
  <c r="L27" i="33"/>
  <c r="G27" i="33"/>
  <c r="R27" i="33" s="1"/>
  <c r="B27" i="33"/>
  <c r="A27" i="33"/>
  <c r="V26" i="33"/>
  <c r="U26" i="33"/>
  <c r="W26" i="33" s="1"/>
  <c r="Q26" i="33"/>
  <c r="R26" i="33" s="1"/>
  <c r="L26" i="33"/>
  <c r="G26" i="33"/>
  <c r="B26" i="33"/>
  <c r="A26" i="33"/>
  <c r="W25" i="33"/>
  <c r="V25" i="33"/>
  <c r="U25" i="33"/>
  <c r="Q25" i="33"/>
  <c r="L25" i="33"/>
  <c r="G25" i="33"/>
  <c r="R25" i="33" s="1"/>
  <c r="B25" i="33"/>
  <c r="A25" i="33"/>
  <c r="V24" i="33"/>
  <c r="U24" i="33"/>
  <c r="W24" i="33" s="1"/>
  <c r="Q24" i="33"/>
  <c r="R24" i="33" s="1"/>
  <c r="L24" i="33"/>
  <c r="G24" i="33"/>
  <c r="B24" i="33"/>
  <c r="A24" i="33"/>
  <c r="W23" i="33"/>
  <c r="V23" i="33"/>
  <c r="U23" i="33"/>
  <c r="Q23" i="33"/>
  <c r="L23" i="33"/>
  <c r="G23" i="33"/>
  <c r="R23" i="33" s="1"/>
  <c r="B23" i="33"/>
  <c r="A23" i="33"/>
  <c r="V22" i="33"/>
  <c r="U22" i="33"/>
  <c r="W22" i="33" s="1"/>
  <c r="Q22" i="33"/>
  <c r="R22" i="33" s="1"/>
  <c r="L22" i="33"/>
  <c r="G22" i="33"/>
  <c r="B22" i="33"/>
  <c r="A22" i="33"/>
  <c r="W21" i="33"/>
  <c r="V21" i="33"/>
  <c r="U21" i="33"/>
  <c r="Q21" i="33"/>
  <c r="L21" i="33"/>
  <c r="G21" i="33"/>
  <c r="R21" i="33" s="1"/>
  <c r="B21" i="33"/>
  <c r="A21" i="33"/>
  <c r="V20" i="33"/>
  <c r="U20" i="33"/>
  <c r="W20" i="33" s="1"/>
  <c r="Q20" i="33"/>
  <c r="R20" i="33" s="1"/>
  <c r="L20" i="33"/>
  <c r="G20" i="33"/>
  <c r="B20" i="33"/>
  <c r="A20" i="33"/>
  <c r="W19" i="33"/>
  <c r="V19" i="33"/>
  <c r="U19" i="33"/>
  <c r="Q19" i="33"/>
  <c r="L19" i="33"/>
  <c r="G19" i="33"/>
  <c r="R19" i="33" s="1"/>
  <c r="B19" i="33"/>
  <c r="A19" i="33"/>
  <c r="V18" i="33"/>
  <c r="U18" i="33"/>
  <c r="W18" i="33" s="1"/>
  <c r="Q18" i="33"/>
  <c r="R18" i="33" s="1"/>
  <c r="L18" i="33"/>
  <c r="G18" i="33"/>
  <c r="B18" i="33"/>
  <c r="A18" i="33"/>
  <c r="W17" i="33"/>
  <c r="V17" i="33"/>
  <c r="U17" i="33"/>
  <c r="Q17" i="33"/>
  <c r="L17" i="33"/>
  <c r="G17" i="33"/>
  <c r="R17" i="33" s="1"/>
  <c r="B17" i="33"/>
  <c r="A17" i="33"/>
  <c r="V16" i="33"/>
  <c r="U16" i="33"/>
  <c r="W16" i="33" s="1"/>
  <c r="Q16" i="33"/>
  <c r="R16" i="33" s="1"/>
  <c r="L16" i="33"/>
  <c r="G16" i="33"/>
  <c r="B16" i="33"/>
  <c r="A16" i="33"/>
  <c r="W15" i="33"/>
  <c r="V15" i="33"/>
  <c r="U15" i="33"/>
  <c r="Q15" i="33"/>
  <c r="L15" i="33"/>
  <c r="G15" i="33"/>
  <c r="R15" i="33" s="1"/>
  <c r="B15" i="33"/>
  <c r="A15" i="33"/>
  <c r="V14" i="33"/>
  <c r="U14" i="33"/>
  <c r="W14" i="33" s="1"/>
  <c r="Q14" i="33"/>
  <c r="R14" i="33" s="1"/>
  <c r="L14" i="33"/>
  <c r="G14" i="33"/>
  <c r="B14" i="33"/>
  <c r="A14" i="33"/>
  <c r="W13" i="33"/>
  <c r="V13" i="33"/>
  <c r="U13" i="33"/>
  <c r="Q13" i="33"/>
  <c r="L13" i="33"/>
  <c r="G13" i="33"/>
  <c r="R13" i="33" s="1"/>
  <c r="B13" i="33"/>
  <c r="A13" i="33"/>
  <c r="V12" i="33"/>
  <c r="U12" i="33"/>
  <c r="W12" i="33" s="1"/>
  <c r="Q12" i="33"/>
  <c r="R12" i="33" s="1"/>
  <c r="L12" i="33"/>
  <c r="G12" i="33"/>
  <c r="B12" i="33"/>
  <c r="A12" i="33"/>
  <c r="W11" i="33"/>
  <c r="V11" i="33"/>
  <c r="U11" i="33"/>
  <c r="Q11" i="33"/>
  <c r="L11" i="33"/>
  <c r="G11" i="33"/>
  <c r="R11" i="33" s="1"/>
  <c r="B11" i="33"/>
  <c r="A11" i="33"/>
  <c r="V10" i="33"/>
  <c r="U10" i="33"/>
  <c r="W10" i="33" s="1"/>
  <c r="Q10" i="33"/>
  <c r="R10" i="33" s="1"/>
  <c r="L10" i="33"/>
  <c r="G10" i="33"/>
  <c r="B10" i="33"/>
  <c r="A10" i="33"/>
  <c r="W9" i="33"/>
  <c r="V9" i="33"/>
  <c r="U9" i="33"/>
  <c r="Q9" i="33"/>
  <c r="L9" i="33"/>
  <c r="G9" i="33"/>
  <c r="R9" i="33" s="1"/>
  <c r="B9" i="33"/>
  <c r="A9" i="33"/>
  <c r="V8" i="33"/>
  <c r="U8" i="33"/>
  <c r="W8" i="33" s="1"/>
  <c r="Q8" i="33"/>
  <c r="R8" i="33" s="1"/>
  <c r="L8" i="33"/>
  <c r="G8" i="33"/>
  <c r="B8" i="33"/>
  <c r="A8" i="33"/>
  <c r="W7" i="33"/>
  <c r="V7" i="33"/>
  <c r="U7" i="33"/>
  <c r="Q7" i="33"/>
  <c r="L7" i="33"/>
  <c r="G7" i="33"/>
  <c r="R7" i="33" s="1"/>
  <c r="B7" i="33"/>
  <c r="A7" i="33"/>
  <c r="V6" i="33"/>
  <c r="U6" i="33"/>
  <c r="W6" i="33" s="1"/>
  <c r="Q6" i="33"/>
  <c r="R6" i="33" s="1"/>
  <c r="L6" i="33"/>
  <c r="G6" i="33"/>
  <c r="B6" i="33"/>
  <c r="A6" i="33"/>
  <c r="V5" i="33"/>
  <c r="U5" i="33"/>
  <c r="Q5" i="33"/>
  <c r="W5" i="33" s="1"/>
  <c r="L5" i="33"/>
  <c r="G5" i="33"/>
  <c r="R5" i="33" s="1"/>
  <c r="B5" i="33"/>
  <c r="A5" i="33"/>
  <c r="B3" i="33"/>
  <c r="T2" i="33"/>
  <c r="W36" i="32"/>
  <c r="V36" i="32"/>
  <c r="U36" i="32"/>
  <c r="Q36" i="32"/>
  <c r="L36" i="32"/>
  <c r="G36" i="32"/>
  <c r="R36" i="32" s="1"/>
  <c r="B36" i="32"/>
  <c r="A36" i="32"/>
  <c r="W35" i="32"/>
  <c r="V35" i="32"/>
  <c r="U35" i="32"/>
  <c r="Q35" i="32"/>
  <c r="L35" i="32"/>
  <c r="G35" i="32"/>
  <c r="R35" i="32" s="1"/>
  <c r="B35" i="32"/>
  <c r="A35" i="32"/>
  <c r="W34" i="32"/>
  <c r="V34" i="32"/>
  <c r="U34" i="32"/>
  <c r="Q34" i="32"/>
  <c r="R34" i="32" s="1"/>
  <c r="L34" i="32"/>
  <c r="G34" i="32"/>
  <c r="B34" i="32"/>
  <c r="A34" i="32"/>
  <c r="W33" i="32"/>
  <c r="V33" i="32"/>
  <c r="U33" i="32"/>
  <c r="Q33" i="32"/>
  <c r="L33" i="32"/>
  <c r="G33" i="32"/>
  <c r="R33" i="32" s="1"/>
  <c r="B33" i="32"/>
  <c r="A33" i="32"/>
  <c r="W32" i="32"/>
  <c r="V32" i="32"/>
  <c r="U32" i="32"/>
  <c r="Q32" i="32"/>
  <c r="L32" i="32"/>
  <c r="G32" i="32"/>
  <c r="R32" i="32" s="1"/>
  <c r="B32" i="32"/>
  <c r="A32" i="32"/>
  <c r="W31" i="32"/>
  <c r="V31" i="32"/>
  <c r="U31" i="32"/>
  <c r="Q31" i="32"/>
  <c r="L31" i="32"/>
  <c r="G31" i="32"/>
  <c r="R31" i="32" s="1"/>
  <c r="B31" i="32"/>
  <c r="A31" i="32"/>
  <c r="W30" i="32"/>
  <c r="V30" i="32"/>
  <c r="U30" i="32"/>
  <c r="Q30" i="32"/>
  <c r="R30" i="32" s="1"/>
  <c r="L30" i="32"/>
  <c r="G30" i="32"/>
  <c r="B30" i="32"/>
  <c r="A30" i="32"/>
  <c r="W29" i="32"/>
  <c r="V29" i="32"/>
  <c r="U29" i="32"/>
  <c r="Q29" i="32"/>
  <c r="L29" i="32"/>
  <c r="G29" i="32"/>
  <c r="R29" i="32" s="1"/>
  <c r="B29" i="32"/>
  <c r="A29" i="32"/>
  <c r="W28" i="32"/>
  <c r="V28" i="32"/>
  <c r="U28" i="32"/>
  <c r="Q28" i="32"/>
  <c r="L28" i="32"/>
  <c r="G28" i="32"/>
  <c r="R28" i="32" s="1"/>
  <c r="B28" i="32"/>
  <c r="A28" i="32"/>
  <c r="W27" i="32"/>
  <c r="V27" i="32"/>
  <c r="U27" i="32"/>
  <c r="Q27" i="32"/>
  <c r="L27" i="32"/>
  <c r="G27" i="32"/>
  <c r="R27" i="32" s="1"/>
  <c r="B27" i="32"/>
  <c r="A27" i="32"/>
  <c r="W26" i="32"/>
  <c r="V26" i="32"/>
  <c r="U26" i="32"/>
  <c r="Q26" i="32"/>
  <c r="R26" i="32" s="1"/>
  <c r="L26" i="32"/>
  <c r="G26" i="32"/>
  <c r="B26" i="32"/>
  <c r="A26" i="32"/>
  <c r="W25" i="32"/>
  <c r="V25" i="32"/>
  <c r="U25" i="32"/>
  <c r="Q25" i="32"/>
  <c r="L25" i="32"/>
  <c r="G25" i="32"/>
  <c r="R25" i="32" s="1"/>
  <c r="B25" i="32"/>
  <c r="A25" i="32"/>
  <c r="W24" i="32"/>
  <c r="V24" i="32"/>
  <c r="U24" i="32"/>
  <c r="Q24" i="32"/>
  <c r="L24" i="32"/>
  <c r="G24" i="32"/>
  <c r="R24" i="32" s="1"/>
  <c r="B24" i="32"/>
  <c r="A24" i="32"/>
  <c r="W23" i="32"/>
  <c r="V23" i="32"/>
  <c r="U23" i="32"/>
  <c r="Q23" i="32"/>
  <c r="L23" i="32"/>
  <c r="G23" i="32"/>
  <c r="R23" i="32" s="1"/>
  <c r="B23" i="32"/>
  <c r="A23" i="32"/>
  <c r="W22" i="32"/>
  <c r="V22" i="32"/>
  <c r="U22" i="32"/>
  <c r="Q22" i="32"/>
  <c r="R22" i="32" s="1"/>
  <c r="L22" i="32"/>
  <c r="G22" i="32"/>
  <c r="B22" i="32"/>
  <c r="A22" i="32"/>
  <c r="W21" i="32"/>
  <c r="V21" i="32"/>
  <c r="U21" i="32"/>
  <c r="Q21" i="32"/>
  <c r="L21" i="32"/>
  <c r="G21" i="32"/>
  <c r="R21" i="32" s="1"/>
  <c r="B21" i="32"/>
  <c r="A21" i="32"/>
  <c r="V20" i="32"/>
  <c r="U20" i="32"/>
  <c r="W20" i="32" s="1"/>
  <c r="Q20" i="32"/>
  <c r="L20" i="32"/>
  <c r="G20" i="32"/>
  <c r="R20" i="32" s="1"/>
  <c r="B20" i="32"/>
  <c r="A20" i="32"/>
  <c r="W19" i="32"/>
  <c r="V19" i="32"/>
  <c r="U19" i="32"/>
  <c r="Q19" i="32"/>
  <c r="L19" i="32"/>
  <c r="G19" i="32"/>
  <c r="R19" i="32" s="1"/>
  <c r="B19" i="32"/>
  <c r="A19" i="32"/>
  <c r="W18" i="32"/>
  <c r="V18" i="32"/>
  <c r="U18" i="32"/>
  <c r="Q18" i="32"/>
  <c r="R18" i="32" s="1"/>
  <c r="L18" i="32"/>
  <c r="G18" i="32"/>
  <c r="B18" i="32"/>
  <c r="A18" i="32"/>
  <c r="W17" i="32"/>
  <c r="V17" i="32"/>
  <c r="U17" i="32"/>
  <c r="Q17" i="32"/>
  <c r="L17" i="32"/>
  <c r="G17" i="32"/>
  <c r="R17" i="32" s="1"/>
  <c r="B17" i="32"/>
  <c r="A17" i="32"/>
  <c r="V16" i="32"/>
  <c r="U16" i="32"/>
  <c r="W16" i="32" s="1"/>
  <c r="Q16" i="32"/>
  <c r="L16" i="32"/>
  <c r="G16" i="32"/>
  <c r="R16" i="32" s="1"/>
  <c r="B16" i="32"/>
  <c r="A16" i="32"/>
  <c r="W15" i="32"/>
  <c r="V15" i="32"/>
  <c r="U15" i="32"/>
  <c r="Q15" i="32"/>
  <c r="L15" i="32"/>
  <c r="G15" i="32"/>
  <c r="R15" i="32" s="1"/>
  <c r="B15" i="32"/>
  <c r="A15" i="32"/>
  <c r="W14" i="32"/>
  <c r="V14" i="32"/>
  <c r="U14" i="32"/>
  <c r="Q14" i="32"/>
  <c r="R14" i="32" s="1"/>
  <c r="L14" i="32"/>
  <c r="G14" i="32"/>
  <c r="B14" i="32"/>
  <c r="A14" i="32"/>
  <c r="W13" i="32"/>
  <c r="V13" i="32"/>
  <c r="U13" i="32"/>
  <c r="Q13" i="32"/>
  <c r="R13" i="32" s="1"/>
  <c r="L13" i="32"/>
  <c r="G13" i="32"/>
  <c r="B13" i="32"/>
  <c r="A13" i="32"/>
  <c r="V12" i="32"/>
  <c r="U12" i="32"/>
  <c r="W12" i="32" s="1"/>
  <c r="Q12" i="32"/>
  <c r="L12" i="32"/>
  <c r="G12" i="32"/>
  <c r="R12" i="32" s="1"/>
  <c r="B12" i="32"/>
  <c r="A12" i="32"/>
  <c r="W11" i="32"/>
  <c r="V11" i="32"/>
  <c r="U11" i="32"/>
  <c r="Q11" i="32"/>
  <c r="L11" i="32"/>
  <c r="G11" i="32"/>
  <c r="R11" i="32" s="1"/>
  <c r="B11" i="32"/>
  <c r="A11" i="32"/>
  <c r="W10" i="32"/>
  <c r="V10" i="32"/>
  <c r="U10" i="32"/>
  <c r="Q10" i="32"/>
  <c r="R10" i="32" s="1"/>
  <c r="L10" i="32"/>
  <c r="G10" i="32"/>
  <c r="B10" i="32"/>
  <c r="A10" i="32"/>
  <c r="W9" i="32"/>
  <c r="V9" i="32"/>
  <c r="U9" i="32"/>
  <c r="Q9" i="32"/>
  <c r="R9" i="32" s="1"/>
  <c r="L9" i="32"/>
  <c r="G9" i="32"/>
  <c r="B9" i="32"/>
  <c r="A9" i="32"/>
  <c r="V8" i="32"/>
  <c r="U8" i="32"/>
  <c r="W8" i="32" s="1"/>
  <c r="Q8" i="32"/>
  <c r="L8" i="32"/>
  <c r="G8" i="32"/>
  <c r="R8" i="32" s="1"/>
  <c r="B8" i="32"/>
  <c r="A8" i="32"/>
  <c r="W7" i="32"/>
  <c r="V7" i="32"/>
  <c r="U7" i="32"/>
  <c r="Q7" i="32"/>
  <c r="L7" i="32"/>
  <c r="G7" i="32"/>
  <c r="R7" i="32" s="1"/>
  <c r="B7" i="32"/>
  <c r="A7" i="32"/>
  <c r="W6" i="32"/>
  <c r="V6" i="32"/>
  <c r="U6" i="32"/>
  <c r="Q6" i="32"/>
  <c r="R6" i="32" s="1"/>
  <c r="L6" i="32"/>
  <c r="G6" i="32"/>
  <c r="B6" i="32"/>
  <c r="A6" i="32"/>
  <c r="V5" i="32"/>
  <c r="U5" i="32"/>
  <c r="Q5" i="32"/>
  <c r="W5" i="32" s="1"/>
  <c r="L5" i="32"/>
  <c r="G5" i="32"/>
  <c r="M5" i="41" s="1"/>
  <c r="B5" i="32"/>
  <c r="A5" i="32"/>
  <c r="B3" i="32"/>
  <c r="T2" i="32"/>
  <c r="W36" i="31"/>
  <c r="V36" i="31"/>
  <c r="U36" i="31"/>
  <c r="Q36" i="31"/>
  <c r="L36" i="31"/>
  <c r="G36" i="31"/>
  <c r="R36" i="31" s="1"/>
  <c r="B36" i="31"/>
  <c r="A36" i="31"/>
  <c r="W35" i="31"/>
  <c r="V35" i="31"/>
  <c r="U35" i="31"/>
  <c r="R35" i="31"/>
  <c r="Q35" i="31"/>
  <c r="L35" i="31"/>
  <c r="G35" i="31"/>
  <c r="B35" i="31"/>
  <c r="A35" i="31"/>
  <c r="W34" i="31"/>
  <c r="V34" i="31"/>
  <c r="U34" i="31"/>
  <c r="Q34" i="31"/>
  <c r="L34" i="31"/>
  <c r="G34" i="31"/>
  <c r="R34" i="31" s="1"/>
  <c r="B34" i="31"/>
  <c r="A34" i="31"/>
  <c r="W33" i="31"/>
  <c r="V33" i="31"/>
  <c r="U33" i="31"/>
  <c r="Q33" i="31"/>
  <c r="L33" i="31"/>
  <c r="G33" i="31"/>
  <c r="R33" i="31" s="1"/>
  <c r="B33" i="31"/>
  <c r="A33" i="31"/>
  <c r="W32" i="31"/>
  <c r="V32" i="31"/>
  <c r="U32" i="31"/>
  <c r="Q32" i="31"/>
  <c r="R32" i="31" s="1"/>
  <c r="L32" i="31"/>
  <c r="G32" i="31"/>
  <c r="B32" i="31"/>
  <c r="A32" i="31"/>
  <c r="W31" i="31"/>
  <c r="V31" i="31"/>
  <c r="U31" i="31"/>
  <c r="R31" i="31"/>
  <c r="Q31" i="31"/>
  <c r="L31" i="31"/>
  <c r="G31" i="31"/>
  <c r="B31" i="31"/>
  <c r="A31" i="31"/>
  <c r="W30" i="31"/>
  <c r="V30" i="31"/>
  <c r="U30" i="31"/>
  <c r="Q30" i="31"/>
  <c r="L30" i="31"/>
  <c r="G30" i="31"/>
  <c r="R30" i="31" s="1"/>
  <c r="B30" i="31"/>
  <c r="A30" i="31"/>
  <c r="W29" i="31"/>
  <c r="V29" i="31"/>
  <c r="U29" i="31"/>
  <c r="Q29" i="31"/>
  <c r="L29" i="31"/>
  <c r="G29" i="31"/>
  <c r="R29" i="31" s="1"/>
  <c r="B29" i="31"/>
  <c r="A29" i="31"/>
  <c r="W28" i="31"/>
  <c r="V28" i="31"/>
  <c r="U28" i="31"/>
  <c r="Q28" i="31"/>
  <c r="R28" i="31" s="1"/>
  <c r="L28" i="31"/>
  <c r="G28" i="31"/>
  <c r="B28" i="31"/>
  <c r="A28" i="31"/>
  <c r="W27" i="31"/>
  <c r="V27" i="31"/>
  <c r="U27" i="31"/>
  <c r="R27" i="31"/>
  <c r="Q27" i="31"/>
  <c r="L27" i="31"/>
  <c r="G27" i="31"/>
  <c r="B27" i="31"/>
  <c r="A27" i="31"/>
  <c r="W26" i="31"/>
  <c r="V26" i="31"/>
  <c r="U26" i="31"/>
  <c r="Q26" i="31"/>
  <c r="L26" i="31"/>
  <c r="G26" i="31"/>
  <c r="R26" i="31" s="1"/>
  <c r="B26" i="31"/>
  <c r="A26" i="31"/>
  <c r="W25" i="31"/>
  <c r="V25" i="31"/>
  <c r="U25" i="31"/>
  <c r="Q25" i="31"/>
  <c r="L25" i="31"/>
  <c r="G25" i="31"/>
  <c r="R25" i="31" s="1"/>
  <c r="B25" i="31"/>
  <c r="A25" i="31"/>
  <c r="W24" i="31"/>
  <c r="V24" i="31"/>
  <c r="U24" i="31"/>
  <c r="Q24" i="31"/>
  <c r="R24" i="31" s="1"/>
  <c r="L24" i="31"/>
  <c r="G24" i="31"/>
  <c r="B24" i="31"/>
  <c r="A24" i="31"/>
  <c r="W23" i="31"/>
  <c r="V23" i="31"/>
  <c r="U23" i="31"/>
  <c r="R23" i="31"/>
  <c r="Q23" i="31"/>
  <c r="L23" i="31"/>
  <c r="G23" i="31"/>
  <c r="B23" i="31"/>
  <c r="A23" i="31"/>
  <c r="W22" i="31"/>
  <c r="V22" i="31"/>
  <c r="U22" i="31"/>
  <c r="Q22" i="31"/>
  <c r="L22" i="31"/>
  <c r="G22" i="31"/>
  <c r="R22" i="31" s="1"/>
  <c r="B22" i="31"/>
  <c r="A22" i="31"/>
  <c r="W21" i="31"/>
  <c r="V21" i="31"/>
  <c r="U21" i="31"/>
  <c r="Q21" i="31"/>
  <c r="L21" i="31"/>
  <c r="G21" i="31"/>
  <c r="R21" i="31" s="1"/>
  <c r="B21" i="31"/>
  <c r="A21" i="31"/>
  <c r="W20" i="31"/>
  <c r="V20" i="31"/>
  <c r="U20" i="31"/>
  <c r="Q20" i="31"/>
  <c r="R20" i="31" s="1"/>
  <c r="L20" i="31"/>
  <c r="G20" i="31"/>
  <c r="B20" i="31"/>
  <c r="A20" i="31"/>
  <c r="W19" i="31"/>
  <c r="V19" i="31"/>
  <c r="U19" i="31"/>
  <c r="R19" i="31"/>
  <c r="Q19" i="31"/>
  <c r="L19" i="31"/>
  <c r="G19" i="31"/>
  <c r="B19" i="31"/>
  <c r="A19" i="31"/>
  <c r="W18" i="31"/>
  <c r="V18" i="31"/>
  <c r="U18" i="31"/>
  <c r="Q18" i="31"/>
  <c r="L18" i="31"/>
  <c r="G18" i="31"/>
  <c r="R18" i="31" s="1"/>
  <c r="B18" i="31"/>
  <c r="A18" i="31"/>
  <c r="W17" i="31"/>
  <c r="V17" i="31"/>
  <c r="U17" i="31"/>
  <c r="Q17" i="31"/>
  <c r="L17" i="31"/>
  <c r="G17" i="31"/>
  <c r="R17" i="31" s="1"/>
  <c r="B17" i="31"/>
  <c r="A17" i="31"/>
  <c r="W16" i="31"/>
  <c r="V16" i="31"/>
  <c r="U16" i="31"/>
  <c r="Q16" i="31"/>
  <c r="R16" i="31" s="1"/>
  <c r="L16" i="31"/>
  <c r="G16" i="31"/>
  <c r="B16" i="31"/>
  <c r="A16" i="31"/>
  <c r="W15" i="31"/>
  <c r="V15" i="31"/>
  <c r="U15" i="31"/>
  <c r="R15" i="31"/>
  <c r="Q15" i="31"/>
  <c r="L15" i="31"/>
  <c r="G15" i="31"/>
  <c r="B15" i="31"/>
  <c r="A15" i="31"/>
  <c r="W14" i="31"/>
  <c r="V14" i="31"/>
  <c r="U14" i="31"/>
  <c r="Q14" i="31"/>
  <c r="L14" i="31"/>
  <c r="G14" i="31"/>
  <c r="R14" i="31" s="1"/>
  <c r="B14" i="31"/>
  <c r="A14" i="31"/>
  <c r="W13" i="31"/>
  <c r="V13" i="31"/>
  <c r="U13" i="31"/>
  <c r="Q13" i="31"/>
  <c r="L13" i="31"/>
  <c r="G13" i="31"/>
  <c r="R13" i="31" s="1"/>
  <c r="B13" i="31"/>
  <c r="A13" i="31"/>
  <c r="W12" i="31"/>
  <c r="V12" i="31"/>
  <c r="U12" i="31"/>
  <c r="Q12" i="31"/>
  <c r="R12" i="31" s="1"/>
  <c r="L12" i="31"/>
  <c r="G12" i="31"/>
  <c r="B12" i="31"/>
  <c r="A12" i="31"/>
  <c r="W11" i="31"/>
  <c r="V11" i="31"/>
  <c r="U11" i="31"/>
  <c r="R11" i="31"/>
  <c r="Q11" i="31"/>
  <c r="L11" i="31"/>
  <c r="G11" i="31"/>
  <c r="B11" i="31"/>
  <c r="A11" i="31"/>
  <c r="W10" i="31"/>
  <c r="V10" i="31"/>
  <c r="U10" i="31"/>
  <c r="Q10" i="31"/>
  <c r="L10" i="31"/>
  <c r="G10" i="31"/>
  <c r="R10" i="31" s="1"/>
  <c r="B10" i="31"/>
  <c r="A10" i="31"/>
  <c r="W9" i="31"/>
  <c r="V9" i="31"/>
  <c r="U9" i="31"/>
  <c r="Q9" i="31"/>
  <c r="L9" i="31"/>
  <c r="G9" i="31"/>
  <c r="R9" i="31" s="1"/>
  <c r="B9" i="31"/>
  <c r="A9" i="31"/>
  <c r="W8" i="31"/>
  <c r="V8" i="31"/>
  <c r="U8" i="31"/>
  <c r="Q8" i="31"/>
  <c r="R8" i="31" s="1"/>
  <c r="L8" i="31"/>
  <c r="G8" i="31"/>
  <c r="B8" i="31"/>
  <c r="A8" i="31"/>
  <c r="W7" i="31"/>
  <c r="V7" i="31"/>
  <c r="U7" i="31"/>
  <c r="R7" i="31"/>
  <c r="Q7" i="31"/>
  <c r="L7" i="31"/>
  <c r="G7" i="31"/>
  <c r="B7" i="31"/>
  <c r="A7" i="31"/>
  <c r="W6" i="31"/>
  <c r="V6" i="31"/>
  <c r="U6" i="31"/>
  <c r="Q6" i="31"/>
  <c r="L6" i="31"/>
  <c r="G6" i="31"/>
  <c r="R6" i="31" s="1"/>
  <c r="B6" i="31"/>
  <c r="A6" i="31"/>
  <c r="V5" i="31"/>
  <c r="U5" i="31"/>
  <c r="Q5" i="31"/>
  <c r="W5" i="31" s="1"/>
  <c r="L5" i="31"/>
  <c r="G5" i="31"/>
  <c r="R5" i="31" s="1"/>
  <c r="B5" i="31"/>
  <c r="A5" i="31"/>
  <c r="B3" i="31"/>
  <c r="T2" i="31"/>
  <c r="V36" i="30"/>
  <c r="U36" i="30"/>
  <c r="W36" i="30" s="1"/>
  <c r="Q36" i="30"/>
  <c r="R36" i="30" s="1"/>
  <c r="L36" i="30"/>
  <c r="G36" i="30"/>
  <c r="B36" i="30"/>
  <c r="A36" i="30"/>
  <c r="W35" i="30"/>
  <c r="V35" i="30"/>
  <c r="U35" i="30"/>
  <c r="Q35" i="30"/>
  <c r="L35" i="30"/>
  <c r="G35" i="30"/>
  <c r="R35" i="30" s="1"/>
  <c r="B35" i="30"/>
  <c r="A35" i="30"/>
  <c r="V34" i="30"/>
  <c r="U34" i="30"/>
  <c r="W34" i="30" s="1"/>
  <c r="Q34" i="30"/>
  <c r="R34" i="30" s="1"/>
  <c r="L34" i="30"/>
  <c r="G34" i="30"/>
  <c r="B34" i="30"/>
  <c r="A34" i="30"/>
  <c r="W33" i="30"/>
  <c r="V33" i="30"/>
  <c r="U33" i="30"/>
  <c r="Q33" i="30"/>
  <c r="L33" i="30"/>
  <c r="G33" i="30"/>
  <c r="R33" i="30" s="1"/>
  <c r="B33" i="30"/>
  <c r="A33" i="30"/>
  <c r="V32" i="30"/>
  <c r="U32" i="30"/>
  <c r="W32" i="30" s="1"/>
  <c r="Q32" i="30"/>
  <c r="R32" i="30" s="1"/>
  <c r="L32" i="30"/>
  <c r="G32" i="30"/>
  <c r="B32" i="30"/>
  <c r="A32" i="30"/>
  <c r="W31" i="30"/>
  <c r="V31" i="30"/>
  <c r="U31" i="30"/>
  <c r="Q31" i="30"/>
  <c r="L31" i="30"/>
  <c r="G31" i="30"/>
  <c r="R31" i="30" s="1"/>
  <c r="B31" i="30"/>
  <c r="A31" i="30"/>
  <c r="V30" i="30"/>
  <c r="U30" i="30"/>
  <c r="W30" i="30" s="1"/>
  <c r="Q30" i="30"/>
  <c r="R30" i="30" s="1"/>
  <c r="L30" i="30"/>
  <c r="G30" i="30"/>
  <c r="B30" i="30"/>
  <c r="A30" i="30"/>
  <c r="W29" i="30"/>
  <c r="V29" i="30"/>
  <c r="U29" i="30"/>
  <c r="Q29" i="30"/>
  <c r="L29" i="30"/>
  <c r="G29" i="30"/>
  <c r="R29" i="30" s="1"/>
  <c r="B29" i="30"/>
  <c r="A29" i="30"/>
  <c r="V28" i="30"/>
  <c r="U28" i="30"/>
  <c r="W28" i="30" s="1"/>
  <c r="Q28" i="30"/>
  <c r="R28" i="30" s="1"/>
  <c r="L28" i="30"/>
  <c r="G28" i="30"/>
  <c r="B28" i="30"/>
  <c r="A28" i="30"/>
  <c r="W27" i="30"/>
  <c r="V27" i="30"/>
  <c r="U27" i="30"/>
  <c r="Q27" i="30"/>
  <c r="L27" i="30"/>
  <c r="G27" i="30"/>
  <c r="R27" i="30" s="1"/>
  <c r="B27" i="30"/>
  <c r="A27" i="30"/>
  <c r="V26" i="30"/>
  <c r="U26" i="30"/>
  <c r="W26" i="30" s="1"/>
  <c r="Q26" i="30"/>
  <c r="R26" i="30" s="1"/>
  <c r="L26" i="30"/>
  <c r="G26" i="30"/>
  <c r="B26" i="30"/>
  <c r="A26" i="30"/>
  <c r="W25" i="30"/>
  <c r="V25" i="30"/>
  <c r="U25" i="30"/>
  <c r="Q25" i="30"/>
  <c r="L25" i="30"/>
  <c r="G25" i="30"/>
  <c r="R25" i="30" s="1"/>
  <c r="B25" i="30"/>
  <c r="A25" i="30"/>
  <c r="V24" i="30"/>
  <c r="U24" i="30"/>
  <c r="W24" i="30" s="1"/>
  <c r="Q24" i="30"/>
  <c r="R24" i="30" s="1"/>
  <c r="L24" i="30"/>
  <c r="G24" i="30"/>
  <c r="B24" i="30"/>
  <c r="A24" i="30"/>
  <c r="W23" i="30"/>
  <c r="V23" i="30"/>
  <c r="U23" i="30"/>
  <c r="Q23" i="30"/>
  <c r="L23" i="30"/>
  <c r="G23" i="30"/>
  <c r="R23" i="30" s="1"/>
  <c r="B23" i="30"/>
  <c r="A23" i="30"/>
  <c r="V22" i="30"/>
  <c r="U22" i="30"/>
  <c r="W22" i="30" s="1"/>
  <c r="Q22" i="30"/>
  <c r="R22" i="30" s="1"/>
  <c r="L22" i="30"/>
  <c r="G22" i="30"/>
  <c r="B22" i="30"/>
  <c r="A22" i="30"/>
  <c r="W21" i="30"/>
  <c r="V21" i="30"/>
  <c r="U21" i="30"/>
  <c r="Q21" i="30"/>
  <c r="L21" i="30"/>
  <c r="G21" i="30"/>
  <c r="R21" i="30" s="1"/>
  <c r="B21" i="30"/>
  <c r="A21" i="30"/>
  <c r="V20" i="30"/>
  <c r="U20" i="30"/>
  <c r="W20" i="30" s="1"/>
  <c r="Q20" i="30"/>
  <c r="R20" i="30" s="1"/>
  <c r="L20" i="30"/>
  <c r="G20" i="30"/>
  <c r="B20" i="30"/>
  <c r="A20" i="30"/>
  <c r="W19" i="30"/>
  <c r="V19" i="30"/>
  <c r="U19" i="30"/>
  <c r="Q19" i="30"/>
  <c r="L19" i="30"/>
  <c r="G19" i="30"/>
  <c r="R19" i="30" s="1"/>
  <c r="B19" i="30"/>
  <c r="A19" i="30"/>
  <c r="V18" i="30"/>
  <c r="U18" i="30"/>
  <c r="W18" i="30" s="1"/>
  <c r="Q18" i="30"/>
  <c r="R18" i="30" s="1"/>
  <c r="L18" i="30"/>
  <c r="G18" i="30"/>
  <c r="B18" i="30"/>
  <c r="A18" i="30"/>
  <c r="W17" i="30"/>
  <c r="V17" i="30"/>
  <c r="U17" i="30"/>
  <c r="Q17" i="30"/>
  <c r="L17" i="30"/>
  <c r="G17" i="30"/>
  <c r="R17" i="30" s="1"/>
  <c r="B17" i="30"/>
  <c r="A17" i="30"/>
  <c r="V16" i="30"/>
  <c r="U16" i="30"/>
  <c r="W16" i="30" s="1"/>
  <c r="Q16" i="30"/>
  <c r="R16" i="30" s="1"/>
  <c r="L16" i="30"/>
  <c r="G16" i="30"/>
  <c r="B16" i="30"/>
  <c r="A16" i="30"/>
  <c r="W15" i="30"/>
  <c r="V15" i="30"/>
  <c r="U15" i="30"/>
  <c r="Q15" i="30"/>
  <c r="L15" i="30"/>
  <c r="G15" i="30"/>
  <c r="R15" i="30" s="1"/>
  <c r="B15" i="30"/>
  <c r="A15" i="30"/>
  <c r="V14" i="30"/>
  <c r="U14" i="30"/>
  <c r="W14" i="30" s="1"/>
  <c r="Q14" i="30"/>
  <c r="R14" i="30" s="1"/>
  <c r="L14" i="30"/>
  <c r="G14" i="30"/>
  <c r="B14" i="30"/>
  <c r="A14" i="30"/>
  <c r="W13" i="30"/>
  <c r="V13" i="30"/>
  <c r="U13" i="30"/>
  <c r="Q13" i="30"/>
  <c r="L13" i="30"/>
  <c r="G13" i="30"/>
  <c r="R13" i="30" s="1"/>
  <c r="B13" i="30"/>
  <c r="A13" i="30"/>
  <c r="V12" i="30"/>
  <c r="U12" i="30"/>
  <c r="W12" i="30" s="1"/>
  <c r="Q12" i="30"/>
  <c r="R12" i="30" s="1"/>
  <c r="L12" i="30"/>
  <c r="G12" i="30"/>
  <c r="B12" i="30"/>
  <c r="A12" i="30"/>
  <c r="W11" i="30"/>
  <c r="V11" i="30"/>
  <c r="U11" i="30"/>
  <c r="Q11" i="30"/>
  <c r="L11" i="30"/>
  <c r="G11" i="30"/>
  <c r="R11" i="30" s="1"/>
  <c r="B11" i="30"/>
  <c r="A11" i="30"/>
  <c r="V10" i="30"/>
  <c r="U10" i="30"/>
  <c r="W10" i="30" s="1"/>
  <c r="Q10" i="30"/>
  <c r="R10" i="30" s="1"/>
  <c r="L10" i="30"/>
  <c r="G10" i="30"/>
  <c r="B10" i="30"/>
  <c r="A10" i="30"/>
  <c r="W9" i="30"/>
  <c r="V9" i="30"/>
  <c r="U9" i="30"/>
  <c r="Q9" i="30"/>
  <c r="L9" i="30"/>
  <c r="G9" i="30"/>
  <c r="R9" i="30" s="1"/>
  <c r="B9" i="30"/>
  <c r="A9" i="30"/>
  <c r="V8" i="30"/>
  <c r="U8" i="30"/>
  <c r="W8" i="30" s="1"/>
  <c r="Q8" i="30"/>
  <c r="R8" i="30" s="1"/>
  <c r="L8" i="30"/>
  <c r="G8" i="30"/>
  <c r="B8" i="30"/>
  <c r="A8" i="30"/>
  <c r="W7" i="30"/>
  <c r="V7" i="30"/>
  <c r="U7" i="30"/>
  <c r="Q7" i="30"/>
  <c r="L7" i="30"/>
  <c r="G7" i="30"/>
  <c r="R7" i="30" s="1"/>
  <c r="B7" i="30"/>
  <c r="A7" i="30"/>
  <c r="V6" i="30"/>
  <c r="U6" i="30"/>
  <c r="W6" i="30" s="1"/>
  <c r="Q6" i="30"/>
  <c r="R6" i="30" s="1"/>
  <c r="L6" i="30"/>
  <c r="G6" i="30"/>
  <c r="B6" i="30"/>
  <c r="A6" i="30"/>
  <c r="V5" i="30"/>
  <c r="U5" i="30"/>
  <c r="Q5" i="30"/>
  <c r="W5" i="30" s="1"/>
  <c r="L5" i="30"/>
  <c r="G5" i="30"/>
  <c r="R5" i="30" s="1"/>
  <c r="B5" i="30"/>
  <c r="A5" i="30"/>
  <c r="B3" i="30"/>
  <c r="T2" i="30"/>
  <c r="V36" i="29"/>
  <c r="U36" i="29"/>
  <c r="W36" i="29" s="1"/>
  <c r="Q36" i="29"/>
  <c r="R36" i="29" s="1"/>
  <c r="L36" i="29"/>
  <c r="G36" i="29"/>
  <c r="B36" i="29"/>
  <c r="A36" i="29"/>
  <c r="W35" i="29"/>
  <c r="V35" i="29"/>
  <c r="U35" i="29"/>
  <c r="Q35" i="29"/>
  <c r="L35" i="29"/>
  <c r="G35" i="29"/>
  <c r="R35" i="29" s="1"/>
  <c r="B35" i="29"/>
  <c r="A35" i="29"/>
  <c r="V34" i="29"/>
  <c r="U34" i="29"/>
  <c r="W34" i="29" s="1"/>
  <c r="Q34" i="29"/>
  <c r="R34" i="29" s="1"/>
  <c r="L34" i="29"/>
  <c r="G34" i="29"/>
  <c r="B34" i="29"/>
  <c r="A34" i="29"/>
  <c r="W33" i="29"/>
  <c r="V33" i="29"/>
  <c r="U33" i="29"/>
  <c r="Q33" i="29"/>
  <c r="L33" i="29"/>
  <c r="G33" i="29"/>
  <c r="R33" i="29" s="1"/>
  <c r="B33" i="29"/>
  <c r="A33" i="29"/>
  <c r="V32" i="29"/>
  <c r="U32" i="29"/>
  <c r="W32" i="29" s="1"/>
  <c r="Q32" i="29"/>
  <c r="R32" i="29" s="1"/>
  <c r="L32" i="29"/>
  <c r="G32" i="29"/>
  <c r="B32" i="29"/>
  <c r="A32" i="29"/>
  <c r="W31" i="29"/>
  <c r="V31" i="29"/>
  <c r="U31" i="29"/>
  <c r="Q31" i="29"/>
  <c r="L31" i="29"/>
  <c r="G31" i="29"/>
  <c r="R31" i="29" s="1"/>
  <c r="B31" i="29"/>
  <c r="A31" i="29"/>
  <c r="V30" i="29"/>
  <c r="U30" i="29"/>
  <c r="W30" i="29" s="1"/>
  <c r="Q30" i="29"/>
  <c r="R30" i="29" s="1"/>
  <c r="L30" i="29"/>
  <c r="G30" i="29"/>
  <c r="B30" i="29"/>
  <c r="A30" i="29"/>
  <c r="W29" i="29"/>
  <c r="V29" i="29"/>
  <c r="U29" i="29"/>
  <c r="Q29" i="29"/>
  <c r="L29" i="29"/>
  <c r="G29" i="29"/>
  <c r="R29" i="29" s="1"/>
  <c r="B29" i="29"/>
  <c r="A29" i="29"/>
  <c r="V28" i="29"/>
  <c r="U28" i="29"/>
  <c r="W28" i="29" s="1"/>
  <c r="Q28" i="29"/>
  <c r="R28" i="29" s="1"/>
  <c r="L28" i="29"/>
  <c r="G28" i="29"/>
  <c r="B28" i="29"/>
  <c r="A28" i="29"/>
  <c r="W27" i="29"/>
  <c r="V27" i="29"/>
  <c r="U27" i="29"/>
  <c r="Q27" i="29"/>
  <c r="L27" i="29"/>
  <c r="G27" i="29"/>
  <c r="R27" i="29" s="1"/>
  <c r="B27" i="29"/>
  <c r="A27" i="29"/>
  <c r="V26" i="29"/>
  <c r="U26" i="29"/>
  <c r="W26" i="29" s="1"/>
  <c r="Q26" i="29"/>
  <c r="R26" i="29" s="1"/>
  <c r="L26" i="29"/>
  <c r="G26" i="29"/>
  <c r="B26" i="29"/>
  <c r="A26" i="29"/>
  <c r="W25" i="29"/>
  <c r="V25" i="29"/>
  <c r="U25" i="29"/>
  <c r="Q25" i="29"/>
  <c r="L25" i="29"/>
  <c r="G25" i="29"/>
  <c r="R25" i="29" s="1"/>
  <c r="B25" i="29"/>
  <c r="A25" i="29"/>
  <c r="V24" i="29"/>
  <c r="U24" i="29"/>
  <c r="W24" i="29" s="1"/>
  <c r="Q24" i="29"/>
  <c r="R24" i="29" s="1"/>
  <c r="L24" i="29"/>
  <c r="G24" i="29"/>
  <c r="B24" i="29"/>
  <c r="A24" i="29"/>
  <c r="W23" i="29"/>
  <c r="V23" i="29"/>
  <c r="U23" i="29"/>
  <c r="Q23" i="29"/>
  <c r="L23" i="29"/>
  <c r="G23" i="29"/>
  <c r="R23" i="29" s="1"/>
  <c r="B23" i="29"/>
  <c r="A23" i="29"/>
  <c r="V22" i="29"/>
  <c r="U22" i="29"/>
  <c r="W22" i="29" s="1"/>
  <c r="Q22" i="29"/>
  <c r="R22" i="29" s="1"/>
  <c r="L22" i="29"/>
  <c r="G22" i="29"/>
  <c r="B22" i="29"/>
  <c r="A22" i="29"/>
  <c r="W21" i="29"/>
  <c r="V21" i="29"/>
  <c r="U21" i="29"/>
  <c r="Q21" i="29"/>
  <c r="L21" i="29"/>
  <c r="G21" i="29"/>
  <c r="R21" i="29" s="1"/>
  <c r="B21" i="29"/>
  <c r="A21" i="29"/>
  <c r="V20" i="29"/>
  <c r="U20" i="29"/>
  <c r="W20" i="29" s="1"/>
  <c r="Q20" i="29"/>
  <c r="R20" i="29" s="1"/>
  <c r="L20" i="29"/>
  <c r="G20" i="29"/>
  <c r="B20" i="29"/>
  <c r="A20" i="29"/>
  <c r="W19" i="29"/>
  <c r="V19" i="29"/>
  <c r="U19" i="29"/>
  <c r="Q19" i="29"/>
  <c r="L19" i="29"/>
  <c r="G19" i="29"/>
  <c r="R19" i="29" s="1"/>
  <c r="B19" i="29"/>
  <c r="A19" i="29"/>
  <c r="V18" i="29"/>
  <c r="U18" i="29"/>
  <c r="W18" i="29" s="1"/>
  <c r="Q18" i="29"/>
  <c r="R18" i="29" s="1"/>
  <c r="L18" i="29"/>
  <c r="G18" i="29"/>
  <c r="B18" i="29"/>
  <c r="A18" i="29"/>
  <c r="W17" i="29"/>
  <c r="V17" i="29"/>
  <c r="U17" i="29"/>
  <c r="Q17" i="29"/>
  <c r="L17" i="29"/>
  <c r="G17" i="29"/>
  <c r="R17" i="29" s="1"/>
  <c r="B17" i="29"/>
  <c r="A17" i="29"/>
  <c r="V16" i="29"/>
  <c r="U16" i="29"/>
  <c r="W16" i="29" s="1"/>
  <c r="Q16" i="29"/>
  <c r="R16" i="29" s="1"/>
  <c r="L16" i="29"/>
  <c r="G16" i="29"/>
  <c r="B16" i="29"/>
  <c r="A16" i="29"/>
  <c r="W15" i="29"/>
  <c r="V15" i="29"/>
  <c r="U15" i="29"/>
  <c r="Q15" i="29"/>
  <c r="L15" i="29"/>
  <c r="G15" i="29"/>
  <c r="R15" i="29" s="1"/>
  <c r="B15" i="29"/>
  <c r="A15" i="29"/>
  <c r="V14" i="29"/>
  <c r="U14" i="29"/>
  <c r="W14" i="29" s="1"/>
  <c r="Q14" i="29"/>
  <c r="R14" i="29" s="1"/>
  <c r="L14" i="29"/>
  <c r="G14" i="29"/>
  <c r="B14" i="29"/>
  <c r="A14" i="29"/>
  <c r="W13" i="29"/>
  <c r="V13" i="29"/>
  <c r="U13" i="29"/>
  <c r="Q13" i="29"/>
  <c r="L13" i="29"/>
  <c r="G13" i="29"/>
  <c r="R13" i="29" s="1"/>
  <c r="B13" i="29"/>
  <c r="A13" i="29"/>
  <c r="V12" i="29"/>
  <c r="U12" i="29"/>
  <c r="W12" i="29" s="1"/>
  <c r="Q12" i="29"/>
  <c r="R12" i="29" s="1"/>
  <c r="L12" i="29"/>
  <c r="G12" i="29"/>
  <c r="B12" i="29"/>
  <c r="A12" i="29"/>
  <c r="W11" i="29"/>
  <c r="V11" i="29"/>
  <c r="U11" i="29"/>
  <c r="Q11" i="29"/>
  <c r="L11" i="29"/>
  <c r="G11" i="29"/>
  <c r="R11" i="29" s="1"/>
  <c r="B11" i="29"/>
  <c r="A11" i="29"/>
  <c r="V10" i="29"/>
  <c r="U10" i="29"/>
  <c r="W10" i="29" s="1"/>
  <c r="Q10" i="29"/>
  <c r="R10" i="29" s="1"/>
  <c r="L10" i="29"/>
  <c r="G10" i="29"/>
  <c r="B10" i="29"/>
  <c r="A10" i="29"/>
  <c r="W9" i="29"/>
  <c r="V9" i="29"/>
  <c r="U9" i="29"/>
  <c r="Q9" i="29"/>
  <c r="L9" i="29"/>
  <c r="G9" i="29"/>
  <c r="R9" i="29" s="1"/>
  <c r="B9" i="29"/>
  <c r="A9" i="29"/>
  <c r="V8" i="29"/>
  <c r="U8" i="29"/>
  <c r="W8" i="29" s="1"/>
  <c r="Q8" i="29"/>
  <c r="R8" i="29" s="1"/>
  <c r="L8" i="29"/>
  <c r="G8" i="29"/>
  <c r="B8" i="29"/>
  <c r="A8" i="29"/>
  <c r="W7" i="29"/>
  <c r="V7" i="29"/>
  <c r="U7" i="29"/>
  <c r="Q7" i="29"/>
  <c r="L7" i="29"/>
  <c r="G7" i="29"/>
  <c r="R7" i="29" s="1"/>
  <c r="B7" i="29"/>
  <c r="A7" i="29"/>
  <c r="V6" i="29"/>
  <c r="U6" i="29"/>
  <c r="W6" i="29" s="1"/>
  <c r="Q6" i="29"/>
  <c r="R6" i="29" s="1"/>
  <c r="L6" i="29"/>
  <c r="G6" i="29"/>
  <c r="B6" i="29"/>
  <c r="A6" i="29"/>
  <c r="V5" i="29"/>
  <c r="U5" i="29"/>
  <c r="Q5" i="29"/>
  <c r="W5" i="29" s="1"/>
  <c r="L5" i="29"/>
  <c r="G5" i="29"/>
  <c r="R5" i="29" s="1"/>
  <c r="B5" i="29"/>
  <c r="A5" i="29"/>
  <c r="B3" i="29"/>
  <c r="T2" i="29"/>
  <c r="W36" i="28"/>
  <c r="V36" i="28"/>
  <c r="U36" i="28"/>
  <c r="Q36" i="28"/>
  <c r="L36" i="28"/>
  <c r="G36" i="28"/>
  <c r="B36" i="28"/>
  <c r="A36" i="28"/>
  <c r="W35" i="28"/>
  <c r="V35" i="28"/>
  <c r="U35" i="28"/>
  <c r="Q35" i="28"/>
  <c r="L35" i="28"/>
  <c r="G35" i="28"/>
  <c r="R35" i="28" s="1"/>
  <c r="B35" i="28"/>
  <c r="A35" i="28"/>
  <c r="V34" i="28"/>
  <c r="U34" i="28"/>
  <c r="W34" i="28" s="1"/>
  <c r="Q34" i="28"/>
  <c r="L34" i="28"/>
  <c r="G34" i="28"/>
  <c r="B34" i="28"/>
  <c r="A34" i="28"/>
  <c r="W33" i="28"/>
  <c r="V33" i="28"/>
  <c r="U33" i="28"/>
  <c r="Q33" i="28"/>
  <c r="L33" i="28"/>
  <c r="G33" i="28"/>
  <c r="R33" i="28" s="1"/>
  <c r="B33" i="28"/>
  <c r="A33" i="28"/>
  <c r="V32" i="28"/>
  <c r="U32" i="28"/>
  <c r="W32" i="28" s="1"/>
  <c r="Q32" i="28"/>
  <c r="L32" i="28"/>
  <c r="G32" i="28"/>
  <c r="B32" i="28"/>
  <c r="A32" i="28"/>
  <c r="W31" i="28"/>
  <c r="V31" i="28"/>
  <c r="U31" i="28"/>
  <c r="Q31" i="28"/>
  <c r="L31" i="28"/>
  <c r="G31" i="28"/>
  <c r="R31" i="28" s="1"/>
  <c r="B31" i="28"/>
  <c r="A31" i="28"/>
  <c r="V30" i="28"/>
  <c r="U30" i="28"/>
  <c r="W30" i="28" s="1"/>
  <c r="Q30" i="28"/>
  <c r="L30" i="28"/>
  <c r="G30" i="28"/>
  <c r="B30" i="28"/>
  <c r="A30" i="28"/>
  <c r="W29" i="28"/>
  <c r="V29" i="28"/>
  <c r="U29" i="28"/>
  <c r="Q29" i="28"/>
  <c r="L29" i="28"/>
  <c r="G29" i="28"/>
  <c r="R29" i="28" s="1"/>
  <c r="B29" i="28"/>
  <c r="A29" i="28"/>
  <c r="V28" i="28"/>
  <c r="U28" i="28"/>
  <c r="W28" i="28" s="1"/>
  <c r="Q28" i="28"/>
  <c r="L28" i="28"/>
  <c r="G28" i="28"/>
  <c r="B28" i="28"/>
  <c r="A28" i="28"/>
  <c r="W27" i="28"/>
  <c r="V27" i="28"/>
  <c r="U27" i="28"/>
  <c r="Q27" i="28"/>
  <c r="L27" i="28"/>
  <c r="G27" i="28"/>
  <c r="R27" i="28" s="1"/>
  <c r="B27" i="28"/>
  <c r="A27" i="28"/>
  <c r="V26" i="28"/>
  <c r="U26" i="28"/>
  <c r="W26" i="28" s="1"/>
  <c r="Q26" i="28"/>
  <c r="L26" i="28"/>
  <c r="G26" i="28"/>
  <c r="B26" i="28"/>
  <c r="A26" i="28"/>
  <c r="W25" i="28"/>
  <c r="V25" i="28"/>
  <c r="U25" i="28"/>
  <c r="Q25" i="28"/>
  <c r="L25" i="28"/>
  <c r="G25" i="28"/>
  <c r="R25" i="28" s="1"/>
  <c r="B25" i="28"/>
  <c r="A25" i="28"/>
  <c r="V24" i="28"/>
  <c r="U24" i="28"/>
  <c r="W24" i="28" s="1"/>
  <c r="Q24" i="28"/>
  <c r="L24" i="28"/>
  <c r="G24" i="28"/>
  <c r="B24" i="28"/>
  <c r="A24" i="28"/>
  <c r="W23" i="28"/>
  <c r="V23" i="28"/>
  <c r="U23" i="28"/>
  <c r="Q23" i="28"/>
  <c r="L23" i="28"/>
  <c r="G23" i="28"/>
  <c r="R23" i="28" s="1"/>
  <c r="B23" i="28"/>
  <c r="A23" i="28"/>
  <c r="V22" i="28"/>
  <c r="U22" i="28"/>
  <c r="W22" i="28" s="1"/>
  <c r="Q22" i="28"/>
  <c r="L22" i="28"/>
  <c r="G22" i="28"/>
  <c r="B22" i="28"/>
  <c r="A22" i="28"/>
  <c r="W21" i="28"/>
  <c r="V21" i="28"/>
  <c r="U21" i="28"/>
  <c r="Q21" i="28"/>
  <c r="L21" i="28"/>
  <c r="G21" i="28"/>
  <c r="R21" i="28" s="1"/>
  <c r="B21" i="28"/>
  <c r="A21" i="28"/>
  <c r="V20" i="28"/>
  <c r="U20" i="28"/>
  <c r="W20" i="28" s="1"/>
  <c r="Q20" i="28"/>
  <c r="L20" i="28"/>
  <c r="G20" i="28"/>
  <c r="B20" i="28"/>
  <c r="A20" i="28"/>
  <c r="W19" i="28"/>
  <c r="V19" i="28"/>
  <c r="U19" i="28"/>
  <c r="Q19" i="28"/>
  <c r="L19" i="28"/>
  <c r="G19" i="28"/>
  <c r="R19" i="28" s="1"/>
  <c r="B19" i="28"/>
  <c r="A19" i="28"/>
  <c r="V18" i="28"/>
  <c r="U18" i="28"/>
  <c r="W18" i="28" s="1"/>
  <c r="Q18" i="28"/>
  <c r="L18" i="28"/>
  <c r="G18" i="28"/>
  <c r="B18" i="28"/>
  <c r="A18" i="28"/>
  <c r="W17" i="28"/>
  <c r="V17" i="28"/>
  <c r="U17" i="28"/>
  <c r="Q17" i="28"/>
  <c r="L17" i="28"/>
  <c r="G17" i="28"/>
  <c r="R17" i="28" s="1"/>
  <c r="B17" i="28"/>
  <c r="A17" i="28"/>
  <c r="V16" i="28"/>
  <c r="U16" i="28"/>
  <c r="W16" i="28" s="1"/>
  <c r="Q16" i="28"/>
  <c r="L16" i="28"/>
  <c r="G16" i="28"/>
  <c r="B16" i="28"/>
  <c r="A16" i="28"/>
  <c r="W15" i="28"/>
  <c r="V15" i="28"/>
  <c r="U15" i="28"/>
  <c r="Q15" i="28"/>
  <c r="L15" i="28"/>
  <c r="G15" i="28"/>
  <c r="R15" i="28" s="1"/>
  <c r="B15" i="28"/>
  <c r="A15" i="28"/>
  <c r="V14" i="28"/>
  <c r="U14" i="28"/>
  <c r="W14" i="28" s="1"/>
  <c r="Q14" i="28"/>
  <c r="L14" i="28"/>
  <c r="G14" i="28"/>
  <c r="B14" i="28"/>
  <c r="A14" i="28"/>
  <c r="W13" i="28"/>
  <c r="V13" i="28"/>
  <c r="U13" i="28"/>
  <c r="Q13" i="28"/>
  <c r="L13" i="28"/>
  <c r="G13" i="28"/>
  <c r="R13" i="28" s="1"/>
  <c r="B13" i="28"/>
  <c r="A13" i="28"/>
  <c r="V12" i="28"/>
  <c r="U12" i="28"/>
  <c r="W12" i="28" s="1"/>
  <c r="Q12" i="28"/>
  <c r="L12" i="28"/>
  <c r="G12" i="28"/>
  <c r="B12" i="28"/>
  <c r="A12" i="28"/>
  <c r="W11" i="28"/>
  <c r="V11" i="28"/>
  <c r="U11" i="28"/>
  <c r="Q11" i="28"/>
  <c r="L11" i="28"/>
  <c r="G11" i="28"/>
  <c r="R11" i="28" s="1"/>
  <c r="B11" i="28"/>
  <c r="A11" i="28"/>
  <c r="V10" i="28"/>
  <c r="U10" i="28"/>
  <c r="W10" i="28" s="1"/>
  <c r="Q10" i="28"/>
  <c r="L10" i="28"/>
  <c r="G10" i="28"/>
  <c r="B10" i="28"/>
  <c r="A10" i="28"/>
  <c r="W9" i="28"/>
  <c r="V9" i="28"/>
  <c r="U9" i="28"/>
  <c r="Q9" i="28"/>
  <c r="L9" i="28"/>
  <c r="G9" i="28"/>
  <c r="R9" i="28" s="1"/>
  <c r="B9" i="28"/>
  <c r="A9" i="28"/>
  <c r="V8" i="28"/>
  <c r="U8" i="28"/>
  <c r="W8" i="28" s="1"/>
  <c r="Q8" i="28"/>
  <c r="L8" i="28"/>
  <c r="G8" i="28"/>
  <c r="B8" i="28"/>
  <c r="A8" i="28"/>
  <c r="W7" i="28"/>
  <c r="V7" i="28"/>
  <c r="U7" i="28"/>
  <c r="Q7" i="28"/>
  <c r="L7" i="28"/>
  <c r="G7" i="28"/>
  <c r="R7" i="28" s="1"/>
  <c r="B7" i="28"/>
  <c r="A7" i="28"/>
  <c r="V6" i="28"/>
  <c r="U6" i="28"/>
  <c r="W6" i="28" s="1"/>
  <c r="Q6" i="28"/>
  <c r="L6" i="28"/>
  <c r="G6" i="28"/>
  <c r="B6" i="28"/>
  <c r="A6" i="28"/>
  <c r="V5" i="28"/>
  <c r="U5" i="28"/>
  <c r="Q5" i="28"/>
  <c r="W5" i="28" s="1"/>
  <c r="L5" i="28"/>
  <c r="G5" i="28"/>
  <c r="R5" i="28" s="1"/>
  <c r="B5" i="28"/>
  <c r="A5" i="28"/>
  <c r="B3" i="28"/>
  <c r="T2" i="28"/>
  <c r="V36" i="27"/>
  <c r="U36" i="27"/>
  <c r="W36" i="27" s="1"/>
  <c r="Q36" i="27"/>
  <c r="R36" i="27" s="1"/>
  <c r="L36" i="27"/>
  <c r="G36" i="27"/>
  <c r="B36" i="27"/>
  <c r="A36" i="27"/>
  <c r="W35" i="27"/>
  <c r="V35" i="27"/>
  <c r="U35" i="27"/>
  <c r="Q35" i="27"/>
  <c r="L35" i="27"/>
  <c r="G35" i="27"/>
  <c r="R35" i="27" s="1"/>
  <c r="B35" i="27"/>
  <c r="A35" i="27"/>
  <c r="V34" i="27"/>
  <c r="U34" i="27"/>
  <c r="W34" i="27" s="1"/>
  <c r="Q34" i="27"/>
  <c r="R34" i="27" s="1"/>
  <c r="L34" i="27"/>
  <c r="G34" i="27"/>
  <c r="B34" i="27"/>
  <c r="A34" i="27"/>
  <c r="W33" i="27"/>
  <c r="V33" i="27"/>
  <c r="U33" i="27"/>
  <c r="Q33" i="27"/>
  <c r="L33" i="27"/>
  <c r="G33" i="27"/>
  <c r="R33" i="27" s="1"/>
  <c r="B33" i="27"/>
  <c r="A33" i="27"/>
  <c r="V32" i="27"/>
  <c r="U32" i="27"/>
  <c r="W32" i="27" s="1"/>
  <c r="Q32" i="27"/>
  <c r="R32" i="27" s="1"/>
  <c r="L32" i="27"/>
  <c r="G32" i="27"/>
  <c r="B32" i="27"/>
  <c r="A32" i="27"/>
  <c r="W31" i="27"/>
  <c r="V31" i="27"/>
  <c r="U31" i="27"/>
  <c r="Q31" i="27"/>
  <c r="L31" i="27"/>
  <c r="G31" i="27"/>
  <c r="R31" i="27" s="1"/>
  <c r="B31" i="27"/>
  <c r="A31" i="27"/>
  <c r="V30" i="27"/>
  <c r="U30" i="27"/>
  <c r="W30" i="27" s="1"/>
  <c r="Q30" i="27"/>
  <c r="R30" i="27" s="1"/>
  <c r="L30" i="27"/>
  <c r="G30" i="27"/>
  <c r="B30" i="27"/>
  <c r="A30" i="27"/>
  <c r="W29" i="27"/>
  <c r="V29" i="27"/>
  <c r="U29" i="27"/>
  <c r="Q29" i="27"/>
  <c r="L29" i="27"/>
  <c r="G29" i="27"/>
  <c r="R29" i="27" s="1"/>
  <c r="B29" i="27"/>
  <c r="A29" i="27"/>
  <c r="V28" i="27"/>
  <c r="U28" i="27"/>
  <c r="W28" i="27" s="1"/>
  <c r="Q28" i="27"/>
  <c r="R28" i="27" s="1"/>
  <c r="L28" i="27"/>
  <c r="G28" i="27"/>
  <c r="B28" i="27"/>
  <c r="A28" i="27"/>
  <c r="W27" i="27"/>
  <c r="V27" i="27"/>
  <c r="U27" i="27"/>
  <c r="Q27" i="27"/>
  <c r="L27" i="27"/>
  <c r="G27" i="27"/>
  <c r="R27" i="27" s="1"/>
  <c r="B27" i="27"/>
  <c r="A27" i="27"/>
  <c r="V26" i="27"/>
  <c r="U26" i="27"/>
  <c r="W26" i="27" s="1"/>
  <c r="Q26" i="27"/>
  <c r="R26" i="27" s="1"/>
  <c r="L26" i="27"/>
  <c r="G26" i="27"/>
  <c r="B26" i="27"/>
  <c r="A26" i="27"/>
  <c r="W25" i="27"/>
  <c r="V25" i="27"/>
  <c r="U25" i="27"/>
  <c r="Q25" i="27"/>
  <c r="L25" i="27"/>
  <c r="G25" i="27"/>
  <c r="R25" i="27" s="1"/>
  <c r="B25" i="27"/>
  <c r="A25" i="27"/>
  <c r="V24" i="27"/>
  <c r="U24" i="27"/>
  <c r="W24" i="27" s="1"/>
  <c r="Q24" i="27"/>
  <c r="R24" i="27" s="1"/>
  <c r="L24" i="27"/>
  <c r="G24" i="27"/>
  <c r="B24" i="27"/>
  <c r="A24" i="27"/>
  <c r="W23" i="27"/>
  <c r="V23" i="27"/>
  <c r="U23" i="27"/>
  <c r="Q23" i="27"/>
  <c r="L23" i="27"/>
  <c r="G23" i="27"/>
  <c r="R23" i="27" s="1"/>
  <c r="B23" i="27"/>
  <c r="A23" i="27"/>
  <c r="V22" i="27"/>
  <c r="U22" i="27"/>
  <c r="W22" i="27" s="1"/>
  <c r="Q22" i="27"/>
  <c r="R22" i="27" s="1"/>
  <c r="L22" i="27"/>
  <c r="G22" i="27"/>
  <c r="B22" i="27"/>
  <c r="A22" i="27"/>
  <c r="W21" i="27"/>
  <c r="V21" i="27"/>
  <c r="U21" i="27"/>
  <c r="Q21" i="27"/>
  <c r="L21" i="27"/>
  <c r="G21" i="27"/>
  <c r="R21" i="27" s="1"/>
  <c r="B21" i="27"/>
  <c r="A21" i="27"/>
  <c r="V20" i="27"/>
  <c r="U20" i="27"/>
  <c r="W20" i="27" s="1"/>
  <c r="Q20" i="27"/>
  <c r="R20" i="27" s="1"/>
  <c r="L20" i="27"/>
  <c r="G20" i="27"/>
  <c r="B20" i="27"/>
  <c r="A20" i="27"/>
  <c r="W19" i="27"/>
  <c r="V19" i="27"/>
  <c r="U19" i="27"/>
  <c r="Q19" i="27"/>
  <c r="L19" i="27"/>
  <c r="G19" i="27"/>
  <c r="R19" i="27" s="1"/>
  <c r="B19" i="27"/>
  <c r="A19" i="27"/>
  <c r="V18" i="27"/>
  <c r="U18" i="27"/>
  <c r="W18" i="27" s="1"/>
  <c r="Q18" i="27"/>
  <c r="R18" i="27" s="1"/>
  <c r="L18" i="27"/>
  <c r="G18" i="27"/>
  <c r="B18" i="27"/>
  <c r="A18" i="27"/>
  <c r="W17" i="27"/>
  <c r="V17" i="27"/>
  <c r="U17" i="27"/>
  <c r="Q17" i="27"/>
  <c r="L17" i="27"/>
  <c r="G17" i="27"/>
  <c r="R17" i="27" s="1"/>
  <c r="B17" i="27"/>
  <c r="A17" i="27"/>
  <c r="V16" i="27"/>
  <c r="U16" i="27"/>
  <c r="W16" i="27" s="1"/>
  <c r="Q16" i="27"/>
  <c r="R16" i="27" s="1"/>
  <c r="L16" i="27"/>
  <c r="G16" i="27"/>
  <c r="B16" i="27"/>
  <c r="A16" i="27"/>
  <c r="W15" i="27"/>
  <c r="V15" i="27"/>
  <c r="U15" i="27"/>
  <c r="Q15" i="27"/>
  <c r="L15" i="27"/>
  <c r="G15" i="27"/>
  <c r="R15" i="27" s="1"/>
  <c r="B15" i="27"/>
  <c r="A15" i="27"/>
  <c r="V14" i="27"/>
  <c r="U14" i="27"/>
  <c r="W14" i="27" s="1"/>
  <c r="Q14" i="27"/>
  <c r="R14" i="27" s="1"/>
  <c r="L14" i="27"/>
  <c r="G14" i="27"/>
  <c r="B14" i="27"/>
  <c r="A14" i="27"/>
  <c r="W13" i="27"/>
  <c r="V13" i="27"/>
  <c r="U13" i="27"/>
  <c r="Q13" i="27"/>
  <c r="L13" i="27"/>
  <c r="G13" i="27"/>
  <c r="R13" i="27" s="1"/>
  <c r="B13" i="27"/>
  <c r="A13" i="27"/>
  <c r="V12" i="27"/>
  <c r="U12" i="27"/>
  <c r="W12" i="27" s="1"/>
  <c r="Q12" i="27"/>
  <c r="R12" i="27" s="1"/>
  <c r="L12" i="27"/>
  <c r="G12" i="27"/>
  <c r="B12" i="27"/>
  <c r="A12" i="27"/>
  <c r="W11" i="27"/>
  <c r="V11" i="27"/>
  <c r="U11" i="27"/>
  <c r="Q11" i="27"/>
  <c r="L11" i="27"/>
  <c r="G11" i="27"/>
  <c r="R11" i="27" s="1"/>
  <c r="B11" i="27"/>
  <c r="A11" i="27"/>
  <c r="V10" i="27"/>
  <c r="U10" i="27"/>
  <c r="W10" i="27" s="1"/>
  <c r="Q10" i="27"/>
  <c r="R10" i="27" s="1"/>
  <c r="L10" i="27"/>
  <c r="G10" i="27"/>
  <c r="B10" i="27"/>
  <c r="A10" i="27"/>
  <c r="W9" i="27"/>
  <c r="V9" i="27"/>
  <c r="U9" i="27"/>
  <c r="Q9" i="27"/>
  <c r="L9" i="27"/>
  <c r="G9" i="27"/>
  <c r="R9" i="27" s="1"/>
  <c r="B9" i="27"/>
  <c r="A9" i="27"/>
  <c r="V8" i="27"/>
  <c r="U8" i="27"/>
  <c r="W8" i="27" s="1"/>
  <c r="Q8" i="27"/>
  <c r="R8" i="27" s="1"/>
  <c r="L8" i="27"/>
  <c r="G8" i="27"/>
  <c r="B8" i="27"/>
  <c r="A8" i="27"/>
  <c r="W7" i="27"/>
  <c r="V7" i="27"/>
  <c r="U7" i="27"/>
  <c r="Q7" i="27"/>
  <c r="L7" i="27"/>
  <c r="G7" i="27"/>
  <c r="R7" i="27" s="1"/>
  <c r="B7" i="27"/>
  <c r="A7" i="27"/>
  <c r="V6" i="27"/>
  <c r="U6" i="27"/>
  <c r="W6" i="27" s="1"/>
  <c r="Q6" i="27"/>
  <c r="R6" i="27" s="1"/>
  <c r="L6" i="27"/>
  <c r="G6" i="27"/>
  <c r="B6" i="27"/>
  <c r="A6" i="27"/>
  <c r="V5" i="27"/>
  <c r="U5" i="27"/>
  <c r="Q5" i="27"/>
  <c r="W5" i="27" s="1"/>
  <c r="L5" i="27"/>
  <c r="G5" i="27"/>
  <c r="R5" i="27" s="1"/>
  <c r="B5" i="27"/>
  <c r="A5" i="27"/>
  <c r="B3" i="27"/>
  <c r="T2" i="27"/>
  <c r="V36" i="26"/>
  <c r="U36" i="26"/>
  <c r="W36" i="26" s="1"/>
  <c r="Q36" i="26"/>
  <c r="L36" i="26"/>
  <c r="G36" i="26"/>
  <c r="R36" i="26" s="1"/>
  <c r="B36" i="26"/>
  <c r="A36" i="26"/>
  <c r="W35" i="26"/>
  <c r="V35" i="26"/>
  <c r="U35" i="26"/>
  <c r="Q35" i="26"/>
  <c r="L35" i="26"/>
  <c r="G35" i="26"/>
  <c r="R35" i="26" s="1"/>
  <c r="B35" i="26"/>
  <c r="A35" i="26"/>
  <c r="W34" i="26"/>
  <c r="V34" i="26"/>
  <c r="U34" i="26"/>
  <c r="Q34" i="26"/>
  <c r="R34" i="26" s="1"/>
  <c r="L34" i="26"/>
  <c r="G34" i="26"/>
  <c r="B34" i="26"/>
  <c r="A34" i="26"/>
  <c r="W33" i="26"/>
  <c r="V33" i="26"/>
  <c r="U33" i="26"/>
  <c r="Q33" i="26"/>
  <c r="L33" i="26"/>
  <c r="G33" i="26"/>
  <c r="R33" i="26" s="1"/>
  <c r="B33" i="26"/>
  <c r="A33" i="26"/>
  <c r="V32" i="26"/>
  <c r="U32" i="26"/>
  <c r="W32" i="26" s="1"/>
  <c r="Q32" i="26"/>
  <c r="L32" i="26"/>
  <c r="G32" i="26"/>
  <c r="R32" i="26" s="1"/>
  <c r="B32" i="26"/>
  <c r="A32" i="26"/>
  <c r="W31" i="26"/>
  <c r="V31" i="26"/>
  <c r="U31" i="26"/>
  <c r="Q31" i="26"/>
  <c r="L31" i="26"/>
  <c r="G31" i="26"/>
  <c r="R31" i="26" s="1"/>
  <c r="B31" i="26"/>
  <c r="A31" i="26"/>
  <c r="W30" i="26"/>
  <c r="V30" i="26"/>
  <c r="U30" i="26"/>
  <c r="Q30" i="26"/>
  <c r="R30" i="26" s="1"/>
  <c r="L30" i="26"/>
  <c r="G30" i="26"/>
  <c r="B30" i="26"/>
  <c r="A30" i="26"/>
  <c r="W29" i="26"/>
  <c r="V29" i="26"/>
  <c r="U29" i="26"/>
  <c r="Q29" i="26"/>
  <c r="L29" i="26"/>
  <c r="G29" i="26"/>
  <c r="R29" i="26" s="1"/>
  <c r="B29" i="26"/>
  <c r="A29" i="26"/>
  <c r="V28" i="26"/>
  <c r="U28" i="26"/>
  <c r="W28" i="26" s="1"/>
  <c r="Q28" i="26"/>
  <c r="L28" i="26"/>
  <c r="G28" i="26"/>
  <c r="R28" i="26" s="1"/>
  <c r="B28" i="26"/>
  <c r="A28" i="26"/>
  <c r="W27" i="26"/>
  <c r="V27" i="26"/>
  <c r="U27" i="26"/>
  <c r="Q27" i="26"/>
  <c r="L27" i="26"/>
  <c r="G27" i="26"/>
  <c r="R27" i="26" s="1"/>
  <c r="B27" i="26"/>
  <c r="A27" i="26"/>
  <c r="W26" i="26"/>
  <c r="V26" i="26"/>
  <c r="U26" i="26"/>
  <c r="Q26" i="26"/>
  <c r="R26" i="26" s="1"/>
  <c r="L26" i="26"/>
  <c r="G26" i="26"/>
  <c r="B26" i="26"/>
  <c r="A26" i="26"/>
  <c r="W25" i="26"/>
  <c r="V25" i="26"/>
  <c r="U25" i="26"/>
  <c r="Q25" i="26"/>
  <c r="L25" i="26"/>
  <c r="G25" i="26"/>
  <c r="R25" i="26" s="1"/>
  <c r="B25" i="26"/>
  <c r="A25" i="26"/>
  <c r="V24" i="26"/>
  <c r="U24" i="26"/>
  <c r="W24" i="26" s="1"/>
  <c r="Q24" i="26"/>
  <c r="L24" i="26"/>
  <c r="G24" i="26"/>
  <c r="R24" i="26" s="1"/>
  <c r="B24" i="26"/>
  <c r="A24" i="26"/>
  <c r="W23" i="26"/>
  <c r="V23" i="26"/>
  <c r="U23" i="26"/>
  <c r="Q23" i="26"/>
  <c r="L23" i="26"/>
  <c r="G23" i="26"/>
  <c r="R23" i="26" s="1"/>
  <c r="B23" i="26"/>
  <c r="A23" i="26"/>
  <c r="W22" i="26"/>
  <c r="V22" i="26"/>
  <c r="U22" i="26"/>
  <c r="Q22" i="26"/>
  <c r="R22" i="26" s="1"/>
  <c r="L22" i="26"/>
  <c r="G22" i="26"/>
  <c r="B22" i="26"/>
  <c r="A22" i="26"/>
  <c r="W21" i="26"/>
  <c r="V21" i="26"/>
  <c r="U21" i="26"/>
  <c r="Q21" i="26"/>
  <c r="L21" i="26"/>
  <c r="G21" i="26"/>
  <c r="R21" i="26" s="1"/>
  <c r="B21" i="26"/>
  <c r="A21" i="26"/>
  <c r="V20" i="26"/>
  <c r="U20" i="26"/>
  <c r="W20" i="26" s="1"/>
  <c r="Q20" i="26"/>
  <c r="L20" i="26"/>
  <c r="G20" i="26"/>
  <c r="R20" i="26" s="1"/>
  <c r="B20" i="26"/>
  <c r="A20" i="26"/>
  <c r="W19" i="26"/>
  <c r="V19" i="26"/>
  <c r="U19" i="26"/>
  <c r="Q19" i="26"/>
  <c r="L19" i="26"/>
  <c r="G19" i="26"/>
  <c r="R19" i="26" s="1"/>
  <c r="B19" i="26"/>
  <c r="A19" i="26"/>
  <c r="W18" i="26"/>
  <c r="V18" i="26"/>
  <c r="U18" i="26"/>
  <c r="Q18" i="26"/>
  <c r="R18" i="26" s="1"/>
  <c r="L18" i="26"/>
  <c r="G18" i="26"/>
  <c r="B18" i="26"/>
  <c r="A18" i="26"/>
  <c r="W17" i="26"/>
  <c r="V17" i="26"/>
  <c r="U17" i="26"/>
  <c r="Q17" i="26"/>
  <c r="L17" i="26"/>
  <c r="G17" i="26"/>
  <c r="R17" i="26" s="1"/>
  <c r="B17" i="26"/>
  <c r="A17" i="26"/>
  <c r="V16" i="26"/>
  <c r="U16" i="26"/>
  <c r="W16" i="26" s="1"/>
  <c r="Q16" i="26"/>
  <c r="L16" i="26"/>
  <c r="G16" i="26"/>
  <c r="R16" i="26" s="1"/>
  <c r="B16" i="26"/>
  <c r="A16" i="26"/>
  <c r="W15" i="26"/>
  <c r="V15" i="26"/>
  <c r="U15" i="26"/>
  <c r="Q15" i="26"/>
  <c r="L15" i="26"/>
  <c r="G15" i="26"/>
  <c r="R15" i="26" s="1"/>
  <c r="B15" i="26"/>
  <c r="A15" i="26"/>
  <c r="W14" i="26"/>
  <c r="V14" i="26"/>
  <c r="U14" i="26"/>
  <c r="Q14" i="26"/>
  <c r="R14" i="26" s="1"/>
  <c r="L14" i="26"/>
  <c r="G14" i="26"/>
  <c r="B14" i="26"/>
  <c r="A14" i="26"/>
  <c r="W13" i="26"/>
  <c r="V13" i="26"/>
  <c r="U13" i="26"/>
  <c r="Q13" i="26"/>
  <c r="L13" i="26"/>
  <c r="G13" i="26"/>
  <c r="R13" i="26" s="1"/>
  <c r="B13" i="26"/>
  <c r="A13" i="26"/>
  <c r="V12" i="26"/>
  <c r="U12" i="26"/>
  <c r="W12" i="26" s="1"/>
  <c r="Q12" i="26"/>
  <c r="L12" i="26"/>
  <c r="G12" i="26"/>
  <c r="R12" i="26" s="1"/>
  <c r="B12" i="26"/>
  <c r="A12" i="26"/>
  <c r="W11" i="26"/>
  <c r="V11" i="26"/>
  <c r="U11" i="26"/>
  <c r="Q11" i="26"/>
  <c r="L11" i="26"/>
  <c r="G11" i="26"/>
  <c r="R11" i="26" s="1"/>
  <c r="B11" i="26"/>
  <c r="A11" i="26"/>
  <c r="W10" i="26"/>
  <c r="V10" i="26"/>
  <c r="U10" i="26"/>
  <c r="Q10" i="26"/>
  <c r="R10" i="26" s="1"/>
  <c r="L10" i="26"/>
  <c r="G10" i="26"/>
  <c r="B10" i="26"/>
  <c r="A10" i="26"/>
  <c r="W9" i="26"/>
  <c r="V9" i="26"/>
  <c r="U9" i="26"/>
  <c r="Q9" i="26"/>
  <c r="L9" i="26"/>
  <c r="G9" i="26"/>
  <c r="R9" i="26" s="1"/>
  <c r="B9" i="26"/>
  <c r="A9" i="26"/>
  <c r="V8" i="26"/>
  <c r="U8" i="26"/>
  <c r="W8" i="26" s="1"/>
  <c r="Q8" i="26"/>
  <c r="R8" i="26" s="1"/>
  <c r="L8" i="26"/>
  <c r="G8" i="26"/>
  <c r="B8" i="26"/>
  <c r="A8" i="26"/>
  <c r="W7" i="26"/>
  <c r="V7" i="26"/>
  <c r="U7" i="26"/>
  <c r="Q7" i="26"/>
  <c r="L7" i="26"/>
  <c r="G7" i="26"/>
  <c r="R7" i="26" s="1"/>
  <c r="B7" i="26"/>
  <c r="A7" i="26"/>
  <c r="W6" i="26"/>
  <c r="V6" i="26"/>
  <c r="U6" i="26"/>
  <c r="Q6" i="26"/>
  <c r="R6" i="26" s="1"/>
  <c r="L6" i="26"/>
  <c r="G6" i="26"/>
  <c r="B6" i="26"/>
  <c r="A6" i="26"/>
  <c r="V5" i="26"/>
  <c r="U5" i="26"/>
  <c r="Q5" i="26"/>
  <c r="W5" i="26" s="1"/>
  <c r="L5" i="26"/>
  <c r="G5" i="26"/>
  <c r="R5" i="26" s="1"/>
  <c r="B5" i="26"/>
  <c r="A5" i="26"/>
  <c r="B3" i="26"/>
  <c r="T2" i="26"/>
  <c r="V36" i="25"/>
  <c r="U36" i="25"/>
  <c r="W36" i="25" s="1"/>
  <c r="Q36" i="25"/>
  <c r="L36" i="25"/>
  <c r="G36" i="25"/>
  <c r="R36" i="25" s="1"/>
  <c r="B36" i="25"/>
  <c r="A36" i="25"/>
  <c r="V35" i="25"/>
  <c r="U35" i="25"/>
  <c r="W35" i="25" s="1"/>
  <c r="Q35" i="25"/>
  <c r="R35" i="25" s="1"/>
  <c r="L35" i="25"/>
  <c r="G35" i="25"/>
  <c r="B35" i="25"/>
  <c r="A35" i="25"/>
  <c r="V34" i="25"/>
  <c r="U34" i="25"/>
  <c r="W34" i="25" s="1"/>
  <c r="Q34" i="25"/>
  <c r="L34" i="25"/>
  <c r="R34" i="25" s="1"/>
  <c r="G34" i="25"/>
  <c r="B34" i="25"/>
  <c r="A34" i="25"/>
  <c r="V33" i="25"/>
  <c r="U33" i="25"/>
  <c r="W33" i="25" s="1"/>
  <c r="Q33" i="25"/>
  <c r="L33" i="25"/>
  <c r="G33" i="25"/>
  <c r="R33" i="25" s="1"/>
  <c r="B33" i="25"/>
  <c r="A33" i="25"/>
  <c r="W32" i="25"/>
  <c r="V32" i="25"/>
  <c r="U32" i="25"/>
  <c r="Q32" i="25"/>
  <c r="L32" i="25"/>
  <c r="G32" i="25"/>
  <c r="R32" i="25" s="1"/>
  <c r="B32" i="25"/>
  <c r="A32" i="25"/>
  <c r="V31" i="25"/>
  <c r="U31" i="25"/>
  <c r="W31" i="25" s="1"/>
  <c r="Q31" i="25"/>
  <c r="R31" i="25" s="1"/>
  <c r="L31" i="25"/>
  <c r="G31" i="25"/>
  <c r="B31" i="25"/>
  <c r="A31" i="25"/>
  <c r="V30" i="25"/>
  <c r="U30" i="25"/>
  <c r="W30" i="25" s="1"/>
  <c r="Q30" i="25"/>
  <c r="L30" i="25"/>
  <c r="R30" i="25" s="1"/>
  <c r="G30" i="25"/>
  <c r="B30" i="25"/>
  <c r="A30" i="25"/>
  <c r="V29" i="25"/>
  <c r="U29" i="25"/>
  <c r="W29" i="25" s="1"/>
  <c r="Q29" i="25"/>
  <c r="L29" i="25"/>
  <c r="G29" i="25"/>
  <c r="R29" i="25" s="1"/>
  <c r="B29" i="25"/>
  <c r="A29" i="25"/>
  <c r="W28" i="25"/>
  <c r="V28" i="25"/>
  <c r="U28" i="25"/>
  <c r="Q28" i="25"/>
  <c r="L28" i="25"/>
  <c r="G28" i="25"/>
  <c r="R28" i="25" s="1"/>
  <c r="B28" i="25"/>
  <c r="A28" i="25"/>
  <c r="V27" i="25"/>
  <c r="U27" i="25"/>
  <c r="W27" i="25" s="1"/>
  <c r="Q27" i="25"/>
  <c r="R27" i="25" s="1"/>
  <c r="L27" i="25"/>
  <c r="G27" i="25"/>
  <c r="B27" i="25"/>
  <c r="A27" i="25"/>
  <c r="V26" i="25"/>
  <c r="U26" i="25"/>
  <c r="W26" i="25" s="1"/>
  <c r="Q26" i="25"/>
  <c r="L26" i="25"/>
  <c r="R26" i="25" s="1"/>
  <c r="G26" i="25"/>
  <c r="B26" i="25"/>
  <c r="A26" i="25"/>
  <c r="V25" i="25"/>
  <c r="U25" i="25"/>
  <c r="W25" i="25" s="1"/>
  <c r="Q25" i="25"/>
  <c r="L25" i="25"/>
  <c r="G25" i="25"/>
  <c r="R25" i="25" s="1"/>
  <c r="B25" i="25"/>
  <c r="A25" i="25"/>
  <c r="W24" i="25"/>
  <c r="V24" i="25"/>
  <c r="U24" i="25"/>
  <c r="Q24" i="25"/>
  <c r="L24" i="25"/>
  <c r="G24" i="25"/>
  <c r="R24" i="25" s="1"/>
  <c r="B24" i="25"/>
  <c r="A24" i="25"/>
  <c r="V23" i="25"/>
  <c r="U23" i="25"/>
  <c r="W23" i="25" s="1"/>
  <c r="Q23" i="25"/>
  <c r="R23" i="25" s="1"/>
  <c r="L23" i="25"/>
  <c r="G23" i="25"/>
  <c r="B23" i="25"/>
  <c r="A23" i="25"/>
  <c r="V22" i="25"/>
  <c r="U22" i="25"/>
  <c r="W22" i="25" s="1"/>
  <c r="Q22" i="25"/>
  <c r="L22" i="25"/>
  <c r="R22" i="25" s="1"/>
  <c r="G22" i="25"/>
  <c r="B22" i="25"/>
  <c r="A22" i="25"/>
  <c r="V21" i="25"/>
  <c r="U21" i="25"/>
  <c r="W21" i="25" s="1"/>
  <c r="Q21" i="25"/>
  <c r="L21" i="25"/>
  <c r="G21" i="25"/>
  <c r="R21" i="25" s="1"/>
  <c r="B21" i="25"/>
  <c r="A21" i="25"/>
  <c r="W20" i="25"/>
  <c r="V20" i="25"/>
  <c r="U20" i="25"/>
  <c r="Q20" i="25"/>
  <c r="L20" i="25"/>
  <c r="G20" i="25"/>
  <c r="R20" i="25" s="1"/>
  <c r="B20" i="25"/>
  <c r="A20" i="25"/>
  <c r="V19" i="25"/>
  <c r="U19" i="25"/>
  <c r="W19" i="25" s="1"/>
  <c r="Q19" i="25"/>
  <c r="R19" i="25" s="1"/>
  <c r="L19" i="25"/>
  <c r="G19" i="25"/>
  <c r="B19" i="25"/>
  <c r="A19" i="25"/>
  <c r="V18" i="25"/>
  <c r="U18" i="25"/>
  <c r="W18" i="25" s="1"/>
  <c r="Q18" i="25"/>
  <c r="L18" i="25"/>
  <c r="R18" i="25" s="1"/>
  <c r="G18" i="25"/>
  <c r="B18" i="25"/>
  <c r="A18" i="25"/>
  <c r="V17" i="25"/>
  <c r="U17" i="25"/>
  <c r="W17" i="25" s="1"/>
  <c r="Q17" i="25"/>
  <c r="L17" i="25"/>
  <c r="G17" i="25"/>
  <c r="R17" i="25" s="1"/>
  <c r="B17" i="25"/>
  <c r="A17" i="25"/>
  <c r="W16" i="25"/>
  <c r="V16" i="25"/>
  <c r="U16" i="25"/>
  <c r="Q16" i="25"/>
  <c r="L16" i="25"/>
  <c r="G16" i="25"/>
  <c r="R16" i="25" s="1"/>
  <c r="B16" i="25"/>
  <c r="A16" i="25"/>
  <c r="V15" i="25"/>
  <c r="U15" i="25"/>
  <c r="W15" i="25" s="1"/>
  <c r="Q15" i="25"/>
  <c r="R15" i="25" s="1"/>
  <c r="L15" i="25"/>
  <c r="G15" i="25"/>
  <c r="B15" i="25"/>
  <c r="A15" i="25"/>
  <c r="V14" i="25"/>
  <c r="U14" i="25"/>
  <c r="W14" i="25" s="1"/>
  <c r="Q14" i="25"/>
  <c r="L14" i="25"/>
  <c r="R14" i="25" s="1"/>
  <c r="G14" i="25"/>
  <c r="B14" i="25"/>
  <c r="A14" i="25"/>
  <c r="V13" i="25"/>
  <c r="U13" i="25"/>
  <c r="W13" i="25" s="1"/>
  <c r="Q13" i="25"/>
  <c r="L13" i="25"/>
  <c r="G13" i="25"/>
  <c r="R13" i="25" s="1"/>
  <c r="B13" i="25"/>
  <c r="A13" i="25"/>
  <c r="W12" i="25"/>
  <c r="V12" i="25"/>
  <c r="U12" i="25"/>
  <c r="Q12" i="25"/>
  <c r="L12" i="25"/>
  <c r="G12" i="25"/>
  <c r="R12" i="25" s="1"/>
  <c r="B12" i="25"/>
  <c r="A12" i="25"/>
  <c r="V11" i="25"/>
  <c r="U11" i="25"/>
  <c r="W11" i="25" s="1"/>
  <c r="Q11" i="25"/>
  <c r="R11" i="25" s="1"/>
  <c r="L11" i="25"/>
  <c r="G11" i="25"/>
  <c r="B11" i="25"/>
  <c r="A11" i="25"/>
  <c r="V10" i="25"/>
  <c r="U10" i="25"/>
  <c r="W10" i="25" s="1"/>
  <c r="Q10" i="25"/>
  <c r="L10" i="25"/>
  <c r="R10" i="25" s="1"/>
  <c r="G10" i="25"/>
  <c r="B10" i="25"/>
  <c r="A10" i="25"/>
  <c r="V9" i="25"/>
  <c r="U9" i="25"/>
  <c r="W9" i="25" s="1"/>
  <c r="Q9" i="25"/>
  <c r="L9" i="25"/>
  <c r="G9" i="25"/>
  <c r="R9" i="25" s="1"/>
  <c r="B9" i="25"/>
  <c r="A9" i="25"/>
  <c r="W8" i="25"/>
  <c r="V8" i="25"/>
  <c r="U8" i="25"/>
  <c r="Q8" i="25"/>
  <c r="L8" i="25"/>
  <c r="G8" i="25"/>
  <c r="R8" i="25" s="1"/>
  <c r="B8" i="25"/>
  <c r="A8" i="25"/>
  <c r="V7" i="25"/>
  <c r="U7" i="25"/>
  <c r="W7" i="25" s="1"/>
  <c r="Q7" i="25"/>
  <c r="R7" i="25" s="1"/>
  <c r="L7" i="25"/>
  <c r="G7" i="25"/>
  <c r="B7" i="25"/>
  <c r="A7" i="25"/>
  <c r="V6" i="25"/>
  <c r="U6" i="25"/>
  <c r="W6" i="25" s="1"/>
  <c r="Q6" i="25"/>
  <c r="L6" i="25"/>
  <c r="R6" i="25" s="1"/>
  <c r="G6" i="25"/>
  <c r="B6" i="25"/>
  <c r="A6" i="25"/>
  <c r="V5" i="25"/>
  <c r="U5" i="25"/>
  <c r="Q5" i="25"/>
  <c r="W5" i="25" s="1"/>
  <c r="L5" i="25"/>
  <c r="G5" i="25"/>
  <c r="R5" i="25" s="1"/>
  <c r="B5" i="25"/>
  <c r="A5" i="25"/>
  <c r="B3" i="25"/>
  <c r="T2" i="25"/>
  <c r="V36" i="24"/>
  <c r="U36" i="24"/>
  <c r="W36" i="24" s="1"/>
  <c r="Q36" i="24"/>
  <c r="L36" i="24"/>
  <c r="G36" i="24"/>
  <c r="R36" i="24" s="1"/>
  <c r="B36" i="24"/>
  <c r="A36" i="24"/>
  <c r="V35" i="24"/>
  <c r="U35" i="24"/>
  <c r="W35" i="24" s="1"/>
  <c r="Q35" i="24"/>
  <c r="L35" i="24"/>
  <c r="G35" i="24"/>
  <c r="R35" i="24" s="1"/>
  <c r="B35" i="24"/>
  <c r="A35" i="24"/>
  <c r="W34" i="24"/>
  <c r="V34" i="24"/>
  <c r="U34" i="24"/>
  <c r="Q34" i="24"/>
  <c r="L34" i="24"/>
  <c r="R34" i="24" s="1"/>
  <c r="G34" i="24"/>
  <c r="B34" i="24"/>
  <c r="A34" i="24"/>
  <c r="V33" i="24"/>
  <c r="U33" i="24"/>
  <c r="W33" i="24" s="1"/>
  <c r="Q33" i="24"/>
  <c r="L33" i="24"/>
  <c r="G33" i="24"/>
  <c r="R33" i="24" s="1"/>
  <c r="B33" i="24"/>
  <c r="A33" i="24"/>
  <c r="V32" i="24"/>
  <c r="U32" i="24"/>
  <c r="W32" i="24" s="1"/>
  <c r="Q32" i="24"/>
  <c r="L32" i="24"/>
  <c r="G32" i="24"/>
  <c r="R32" i="24" s="1"/>
  <c r="B32" i="24"/>
  <c r="A32" i="24"/>
  <c r="V31" i="24"/>
  <c r="U31" i="24"/>
  <c r="W31" i="24" s="1"/>
  <c r="Q31" i="24"/>
  <c r="L31" i="24"/>
  <c r="G31" i="24"/>
  <c r="R31" i="24" s="1"/>
  <c r="B31" i="24"/>
  <c r="A31" i="24"/>
  <c r="W30" i="24"/>
  <c r="V30" i="24"/>
  <c r="U30" i="24"/>
  <c r="Q30" i="24"/>
  <c r="L30" i="24"/>
  <c r="R30" i="24" s="1"/>
  <c r="G30" i="24"/>
  <c r="B30" i="24"/>
  <c r="A30" i="24"/>
  <c r="V29" i="24"/>
  <c r="U29" i="24"/>
  <c r="W29" i="24" s="1"/>
  <c r="Q29" i="24"/>
  <c r="L29" i="24"/>
  <c r="G29" i="24"/>
  <c r="R29" i="24" s="1"/>
  <c r="B29" i="24"/>
  <c r="A29" i="24"/>
  <c r="V28" i="24"/>
  <c r="U28" i="24"/>
  <c r="W28" i="24" s="1"/>
  <c r="Q28" i="24"/>
  <c r="L28" i="24"/>
  <c r="G28" i="24"/>
  <c r="R28" i="24" s="1"/>
  <c r="B28" i="24"/>
  <c r="A28" i="24"/>
  <c r="V27" i="24"/>
  <c r="U27" i="24"/>
  <c r="W27" i="24" s="1"/>
  <c r="Q27" i="24"/>
  <c r="L27" i="24"/>
  <c r="G27" i="24"/>
  <c r="R27" i="24" s="1"/>
  <c r="B27" i="24"/>
  <c r="A27" i="24"/>
  <c r="W26" i="24"/>
  <c r="V26" i="24"/>
  <c r="U26" i="24"/>
  <c r="Q26" i="24"/>
  <c r="L26" i="24"/>
  <c r="R26" i="24" s="1"/>
  <c r="G26" i="24"/>
  <c r="B26" i="24"/>
  <c r="A26" i="24"/>
  <c r="V25" i="24"/>
  <c r="U25" i="24"/>
  <c r="W25" i="24" s="1"/>
  <c r="Q25" i="24"/>
  <c r="L25" i="24"/>
  <c r="G25" i="24"/>
  <c r="R25" i="24" s="1"/>
  <c r="B25" i="24"/>
  <c r="A25" i="24"/>
  <c r="V24" i="24"/>
  <c r="U24" i="24"/>
  <c r="W24" i="24" s="1"/>
  <c r="Q24" i="24"/>
  <c r="L24" i="24"/>
  <c r="G24" i="24"/>
  <c r="R24" i="24" s="1"/>
  <c r="B24" i="24"/>
  <c r="A24" i="24"/>
  <c r="V23" i="24"/>
  <c r="U23" i="24"/>
  <c r="W23" i="24" s="1"/>
  <c r="Q23" i="24"/>
  <c r="L23" i="24"/>
  <c r="G23" i="24"/>
  <c r="R23" i="24" s="1"/>
  <c r="B23" i="24"/>
  <c r="A23" i="24"/>
  <c r="W22" i="24"/>
  <c r="V22" i="24"/>
  <c r="U22" i="24"/>
  <c r="Q22" i="24"/>
  <c r="L22" i="24"/>
  <c r="R22" i="24" s="1"/>
  <c r="G22" i="24"/>
  <c r="B22" i="24"/>
  <c r="A22" i="24"/>
  <c r="V21" i="24"/>
  <c r="U21" i="24"/>
  <c r="W21" i="24" s="1"/>
  <c r="Q21" i="24"/>
  <c r="L21" i="24"/>
  <c r="G21" i="24"/>
  <c r="R21" i="24" s="1"/>
  <c r="B21" i="24"/>
  <c r="A21" i="24"/>
  <c r="V20" i="24"/>
  <c r="U20" i="24"/>
  <c r="W20" i="24" s="1"/>
  <c r="Q20" i="24"/>
  <c r="L20" i="24"/>
  <c r="G20" i="24"/>
  <c r="R20" i="24" s="1"/>
  <c r="B20" i="24"/>
  <c r="A20" i="24"/>
  <c r="V19" i="24"/>
  <c r="U19" i="24"/>
  <c r="W19" i="24" s="1"/>
  <c r="Q19" i="24"/>
  <c r="L19" i="24"/>
  <c r="G19" i="24"/>
  <c r="R19" i="24" s="1"/>
  <c r="B19" i="24"/>
  <c r="A19" i="24"/>
  <c r="W18" i="24"/>
  <c r="V18" i="24"/>
  <c r="U18" i="24"/>
  <c r="Q18" i="24"/>
  <c r="L18" i="24"/>
  <c r="R18" i="24" s="1"/>
  <c r="G18" i="24"/>
  <c r="B18" i="24"/>
  <c r="A18" i="24"/>
  <c r="V17" i="24"/>
  <c r="U17" i="24"/>
  <c r="W17" i="24" s="1"/>
  <c r="Q17" i="24"/>
  <c r="L17" i="24"/>
  <c r="G17" i="24"/>
  <c r="R17" i="24" s="1"/>
  <c r="B17" i="24"/>
  <c r="A17" i="24"/>
  <c r="V16" i="24"/>
  <c r="U16" i="24"/>
  <c r="W16" i="24" s="1"/>
  <c r="Q16" i="24"/>
  <c r="L16" i="24"/>
  <c r="G16" i="24"/>
  <c r="R16" i="24" s="1"/>
  <c r="B16" i="24"/>
  <c r="A16" i="24"/>
  <c r="V15" i="24"/>
  <c r="U15" i="24"/>
  <c r="W15" i="24" s="1"/>
  <c r="Q15" i="24"/>
  <c r="L15" i="24"/>
  <c r="G15" i="24"/>
  <c r="R15" i="24" s="1"/>
  <c r="B15" i="24"/>
  <c r="A15" i="24"/>
  <c r="W14" i="24"/>
  <c r="V14" i="24"/>
  <c r="U14" i="24"/>
  <c r="Q14" i="24"/>
  <c r="L14" i="24"/>
  <c r="R14" i="24" s="1"/>
  <c r="G14" i="24"/>
  <c r="B14" i="24"/>
  <c r="A14" i="24"/>
  <c r="V13" i="24"/>
  <c r="U13" i="24"/>
  <c r="W13" i="24" s="1"/>
  <c r="Q13" i="24"/>
  <c r="L13" i="24"/>
  <c r="G13" i="24"/>
  <c r="R13" i="24" s="1"/>
  <c r="B13" i="24"/>
  <c r="A13" i="24"/>
  <c r="V12" i="24"/>
  <c r="U12" i="24"/>
  <c r="W12" i="24" s="1"/>
  <c r="Q12" i="24"/>
  <c r="L12" i="24"/>
  <c r="G12" i="24"/>
  <c r="R12" i="24" s="1"/>
  <c r="B12" i="24"/>
  <c r="A12" i="24"/>
  <c r="V11" i="24"/>
  <c r="U11" i="24"/>
  <c r="W11" i="24" s="1"/>
  <c r="Q11" i="24"/>
  <c r="L11" i="24"/>
  <c r="G11" i="24"/>
  <c r="R11" i="24" s="1"/>
  <c r="B11" i="24"/>
  <c r="A11" i="24"/>
  <c r="W10" i="24"/>
  <c r="V10" i="24"/>
  <c r="U10" i="24"/>
  <c r="Q10" i="24"/>
  <c r="L10" i="24"/>
  <c r="R10" i="24" s="1"/>
  <c r="G10" i="24"/>
  <c r="B10" i="24"/>
  <c r="A10" i="24"/>
  <c r="V9" i="24"/>
  <c r="U9" i="24"/>
  <c r="W9" i="24" s="1"/>
  <c r="Q9" i="24"/>
  <c r="L9" i="24"/>
  <c r="G9" i="24"/>
  <c r="R9" i="24" s="1"/>
  <c r="B9" i="24"/>
  <c r="A9" i="24"/>
  <c r="V8" i="24"/>
  <c r="U8" i="24"/>
  <c r="W8" i="24" s="1"/>
  <c r="Q8" i="24"/>
  <c r="L8" i="24"/>
  <c r="G8" i="24"/>
  <c r="R8" i="24" s="1"/>
  <c r="B8" i="24"/>
  <c r="A8" i="24"/>
  <c r="V7" i="24"/>
  <c r="U7" i="24"/>
  <c r="W7" i="24" s="1"/>
  <c r="Q7" i="24"/>
  <c r="L7" i="24"/>
  <c r="G7" i="24"/>
  <c r="R7" i="24" s="1"/>
  <c r="B7" i="24"/>
  <c r="A7" i="24"/>
  <c r="W6" i="24"/>
  <c r="V6" i="24"/>
  <c r="U6" i="24"/>
  <c r="Q6" i="24"/>
  <c r="L6" i="24"/>
  <c r="R6" i="24" s="1"/>
  <c r="G6" i="24"/>
  <c r="B6" i="24"/>
  <c r="A6" i="24"/>
  <c r="V5" i="24"/>
  <c r="U5" i="24"/>
  <c r="Q5" i="24"/>
  <c r="W5" i="24" s="1"/>
  <c r="L5" i="24"/>
  <c r="G5" i="24"/>
  <c r="R5" i="24" s="1"/>
  <c r="B5" i="24"/>
  <c r="A5" i="24"/>
  <c r="B3" i="24"/>
  <c r="T2" i="24"/>
  <c r="V36" i="23"/>
  <c r="U36" i="23"/>
  <c r="W36" i="23" s="1"/>
  <c r="Q36" i="23"/>
  <c r="L36" i="23"/>
  <c r="G36" i="23"/>
  <c r="R36" i="23" s="1"/>
  <c r="B36" i="23"/>
  <c r="A36" i="23"/>
  <c r="W35" i="23"/>
  <c r="V35" i="23"/>
  <c r="U35" i="23"/>
  <c r="Q35" i="23"/>
  <c r="L35" i="23"/>
  <c r="G35" i="23"/>
  <c r="R35" i="23" s="1"/>
  <c r="B35" i="23"/>
  <c r="A35" i="23"/>
  <c r="W34" i="23"/>
  <c r="V34" i="23"/>
  <c r="U34" i="23"/>
  <c r="Q34" i="23"/>
  <c r="R34" i="23" s="1"/>
  <c r="L34" i="23"/>
  <c r="G34" i="23"/>
  <c r="B34" i="23"/>
  <c r="A34" i="23"/>
  <c r="W33" i="23"/>
  <c r="V33" i="23"/>
  <c r="U33" i="23"/>
  <c r="R33" i="23"/>
  <c r="Q33" i="23"/>
  <c r="L33" i="23"/>
  <c r="G33" i="23"/>
  <c r="B33" i="23"/>
  <c r="A33" i="23"/>
  <c r="V32" i="23"/>
  <c r="U32" i="23"/>
  <c r="W32" i="23" s="1"/>
  <c r="Q32" i="23"/>
  <c r="R32" i="23" s="1"/>
  <c r="L32" i="23"/>
  <c r="G32" i="23"/>
  <c r="B32" i="23"/>
  <c r="A32" i="23"/>
  <c r="W31" i="23"/>
  <c r="V31" i="23"/>
  <c r="U31" i="23"/>
  <c r="Q31" i="23"/>
  <c r="L31" i="23"/>
  <c r="G31" i="23"/>
  <c r="R31" i="23" s="1"/>
  <c r="B31" i="23"/>
  <c r="A31" i="23"/>
  <c r="V30" i="23"/>
  <c r="U30" i="23"/>
  <c r="W30" i="23" s="1"/>
  <c r="Q30" i="23"/>
  <c r="R30" i="23" s="1"/>
  <c r="L30" i="23"/>
  <c r="G30" i="23"/>
  <c r="B30" i="23"/>
  <c r="A30" i="23"/>
  <c r="W29" i="23"/>
  <c r="V29" i="23"/>
  <c r="U29" i="23"/>
  <c r="Q29" i="23"/>
  <c r="L29" i="23"/>
  <c r="R29" i="23" s="1"/>
  <c r="G29" i="23"/>
  <c r="B29" i="23"/>
  <c r="A29" i="23"/>
  <c r="V28" i="23"/>
  <c r="U28" i="23"/>
  <c r="W28" i="23" s="1"/>
  <c r="Q28" i="23"/>
  <c r="L28" i="23"/>
  <c r="G28" i="23"/>
  <c r="R28" i="23" s="1"/>
  <c r="B28" i="23"/>
  <c r="A28" i="23"/>
  <c r="W27" i="23"/>
  <c r="V27" i="23"/>
  <c r="U27" i="23"/>
  <c r="Q27" i="23"/>
  <c r="L27" i="23"/>
  <c r="G27" i="23"/>
  <c r="R27" i="23" s="1"/>
  <c r="B27" i="23"/>
  <c r="A27" i="23"/>
  <c r="V26" i="23"/>
  <c r="U26" i="23"/>
  <c r="W26" i="23" s="1"/>
  <c r="Q26" i="23"/>
  <c r="R26" i="23" s="1"/>
  <c r="L26" i="23"/>
  <c r="G26" i="23"/>
  <c r="B26" i="23"/>
  <c r="A26" i="23"/>
  <c r="W25" i="23"/>
  <c r="V25" i="23"/>
  <c r="U25" i="23"/>
  <c r="Q25" i="23"/>
  <c r="L25" i="23"/>
  <c r="R25" i="23" s="1"/>
  <c r="G25" i="23"/>
  <c r="B25" i="23"/>
  <c r="A25" i="23"/>
  <c r="V24" i="23"/>
  <c r="U24" i="23"/>
  <c r="W24" i="23" s="1"/>
  <c r="Q24" i="23"/>
  <c r="L24" i="23"/>
  <c r="G24" i="23"/>
  <c r="R24" i="23" s="1"/>
  <c r="B24" i="23"/>
  <c r="A24" i="23"/>
  <c r="W23" i="23"/>
  <c r="V23" i="23"/>
  <c r="U23" i="23"/>
  <c r="Q23" i="23"/>
  <c r="L23" i="23"/>
  <c r="G23" i="23"/>
  <c r="R23" i="23" s="1"/>
  <c r="B23" i="23"/>
  <c r="A23" i="23"/>
  <c r="V22" i="23"/>
  <c r="U22" i="23"/>
  <c r="W22" i="23" s="1"/>
  <c r="Q22" i="23"/>
  <c r="R22" i="23" s="1"/>
  <c r="L22" i="23"/>
  <c r="G22" i="23"/>
  <c r="B22" i="23"/>
  <c r="A22" i="23"/>
  <c r="W21" i="23"/>
  <c r="V21" i="23"/>
  <c r="U21" i="23"/>
  <c r="Q21" i="23"/>
  <c r="L21" i="23"/>
  <c r="R21" i="23" s="1"/>
  <c r="G21" i="23"/>
  <c r="B21" i="23"/>
  <c r="A21" i="23"/>
  <c r="V20" i="23"/>
  <c r="U20" i="23"/>
  <c r="W20" i="23" s="1"/>
  <c r="Q20" i="23"/>
  <c r="L20" i="23"/>
  <c r="G20" i="23"/>
  <c r="R20" i="23" s="1"/>
  <c r="B20" i="23"/>
  <c r="A20" i="23"/>
  <c r="W19" i="23"/>
  <c r="V19" i="23"/>
  <c r="U19" i="23"/>
  <c r="Q19" i="23"/>
  <c r="L19" i="23"/>
  <c r="G19" i="23"/>
  <c r="R19" i="23" s="1"/>
  <c r="B19" i="23"/>
  <c r="A19" i="23"/>
  <c r="V18" i="23"/>
  <c r="U18" i="23"/>
  <c r="W18" i="23" s="1"/>
  <c r="Q18" i="23"/>
  <c r="R18" i="23" s="1"/>
  <c r="L18" i="23"/>
  <c r="G18" i="23"/>
  <c r="B18" i="23"/>
  <c r="A18" i="23"/>
  <c r="W17" i="23"/>
  <c r="V17" i="23"/>
  <c r="U17" i="23"/>
  <c r="Q17" i="23"/>
  <c r="L17" i="23"/>
  <c r="R17" i="23" s="1"/>
  <c r="G17" i="23"/>
  <c r="B17" i="23"/>
  <c r="A17" i="23"/>
  <c r="V16" i="23"/>
  <c r="U16" i="23"/>
  <c r="W16" i="23" s="1"/>
  <c r="Q16" i="23"/>
  <c r="L16" i="23"/>
  <c r="G16" i="23"/>
  <c r="R16" i="23" s="1"/>
  <c r="B16" i="23"/>
  <c r="A16" i="23"/>
  <c r="W15" i="23"/>
  <c r="V15" i="23"/>
  <c r="U15" i="23"/>
  <c r="Q15" i="23"/>
  <c r="L15" i="23"/>
  <c r="G15" i="23"/>
  <c r="R15" i="23" s="1"/>
  <c r="B15" i="23"/>
  <c r="A15" i="23"/>
  <c r="V14" i="23"/>
  <c r="U14" i="23"/>
  <c r="W14" i="23" s="1"/>
  <c r="Q14" i="23"/>
  <c r="R14" i="23" s="1"/>
  <c r="L14" i="23"/>
  <c r="G14" i="23"/>
  <c r="B14" i="23"/>
  <c r="A14" i="23"/>
  <c r="W13" i="23"/>
  <c r="V13" i="23"/>
  <c r="U13" i="23"/>
  <c r="Q13" i="23"/>
  <c r="L13" i="23"/>
  <c r="G13" i="23"/>
  <c r="R13" i="23" s="1"/>
  <c r="B13" i="23"/>
  <c r="A13" i="23"/>
  <c r="V12" i="23"/>
  <c r="U12" i="23"/>
  <c r="W12" i="23" s="1"/>
  <c r="Q12" i="23"/>
  <c r="L12" i="23"/>
  <c r="G12" i="23"/>
  <c r="R12" i="23" s="1"/>
  <c r="B12" i="23"/>
  <c r="A12" i="23"/>
  <c r="W11" i="23"/>
  <c r="V11" i="23"/>
  <c r="U11" i="23"/>
  <c r="Q11" i="23"/>
  <c r="L11" i="23"/>
  <c r="G11" i="23"/>
  <c r="R11" i="23" s="1"/>
  <c r="B11" i="23"/>
  <c r="A11" i="23"/>
  <c r="V10" i="23"/>
  <c r="U10" i="23"/>
  <c r="W10" i="23" s="1"/>
  <c r="Q10" i="23"/>
  <c r="R10" i="23" s="1"/>
  <c r="L10" i="23"/>
  <c r="G10" i="23"/>
  <c r="B10" i="23"/>
  <c r="A10" i="23"/>
  <c r="W9" i="23"/>
  <c r="V9" i="23"/>
  <c r="U9" i="23"/>
  <c r="Q9" i="23"/>
  <c r="L9" i="23"/>
  <c r="G9" i="23"/>
  <c r="R9" i="23" s="1"/>
  <c r="B9" i="23"/>
  <c r="A9" i="23"/>
  <c r="V8" i="23"/>
  <c r="U8" i="23"/>
  <c r="W8" i="23" s="1"/>
  <c r="Q8" i="23"/>
  <c r="L8" i="23"/>
  <c r="G8" i="23"/>
  <c r="R8" i="23" s="1"/>
  <c r="B8" i="23"/>
  <c r="A8" i="23"/>
  <c r="W7" i="23"/>
  <c r="V7" i="23"/>
  <c r="U7" i="23"/>
  <c r="Q7" i="23"/>
  <c r="L7" i="23"/>
  <c r="G7" i="23"/>
  <c r="R7" i="23" s="1"/>
  <c r="B7" i="23"/>
  <c r="A7" i="23"/>
  <c r="V6" i="23"/>
  <c r="U6" i="23"/>
  <c r="W6" i="23" s="1"/>
  <c r="Q6" i="23"/>
  <c r="R6" i="23" s="1"/>
  <c r="L6" i="23"/>
  <c r="G6" i="23"/>
  <c r="B6" i="23"/>
  <c r="A6" i="23"/>
  <c r="V5" i="23"/>
  <c r="U5" i="23"/>
  <c r="Q5" i="23"/>
  <c r="W5" i="23" s="1"/>
  <c r="L5" i="23"/>
  <c r="G5" i="23"/>
  <c r="R5" i="23" s="1"/>
  <c r="B5" i="23"/>
  <c r="A5" i="23"/>
  <c r="B3" i="23"/>
  <c r="T2" i="23"/>
  <c r="V36" i="22"/>
  <c r="U36" i="22"/>
  <c r="W36" i="22" s="1"/>
  <c r="Q36" i="22"/>
  <c r="L36" i="22"/>
  <c r="G36" i="22"/>
  <c r="R36" i="22" s="1"/>
  <c r="B36" i="22"/>
  <c r="A36" i="22"/>
  <c r="W35" i="22"/>
  <c r="V35" i="22"/>
  <c r="U35" i="22"/>
  <c r="Q35" i="22"/>
  <c r="L35" i="22"/>
  <c r="G35" i="22"/>
  <c r="R35" i="22" s="1"/>
  <c r="B35" i="22"/>
  <c r="A35" i="22"/>
  <c r="V34" i="22"/>
  <c r="U34" i="22"/>
  <c r="W34" i="22" s="1"/>
  <c r="Q34" i="22"/>
  <c r="L34" i="22"/>
  <c r="R34" i="22" s="1"/>
  <c r="G34" i="22"/>
  <c r="B34" i="22"/>
  <c r="A34" i="22"/>
  <c r="V33" i="22"/>
  <c r="U33" i="22"/>
  <c r="W33" i="22" s="1"/>
  <c r="Q33" i="22"/>
  <c r="L33" i="22"/>
  <c r="G33" i="22"/>
  <c r="R33" i="22" s="1"/>
  <c r="B33" i="22"/>
  <c r="A33" i="22"/>
  <c r="W32" i="22"/>
  <c r="V32" i="22"/>
  <c r="U32" i="22"/>
  <c r="Q32" i="22"/>
  <c r="L32" i="22"/>
  <c r="G32" i="22"/>
  <c r="R32" i="22" s="1"/>
  <c r="B32" i="22"/>
  <c r="A32" i="22"/>
  <c r="V31" i="22"/>
  <c r="U31" i="22"/>
  <c r="W31" i="22" s="1"/>
  <c r="Q31" i="22"/>
  <c r="L31" i="22"/>
  <c r="G31" i="22"/>
  <c r="R31" i="22" s="1"/>
  <c r="B31" i="22"/>
  <c r="A31" i="22"/>
  <c r="V30" i="22"/>
  <c r="U30" i="22"/>
  <c r="W30" i="22" s="1"/>
  <c r="Q30" i="22"/>
  <c r="L30" i="22"/>
  <c r="R30" i="22" s="1"/>
  <c r="G30" i="22"/>
  <c r="B30" i="22"/>
  <c r="A30" i="22"/>
  <c r="V29" i="22"/>
  <c r="U29" i="22"/>
  <c r="W29" i="22" s="1"/>
  <c r="Q29" i="22"/>
  <c r="L29" i="22"/>
  <c r="G29" i="22"/>
  <c r="R29" i="22" s="1"/>
  <c r="B29" i="22"/>
  <c r="A29" i="22"/>
  <c r="W28" i="22"/>
  <c r="V28" i="22"/>
  <c r="U28" i="22"/>
  <c r="Q28" i="22"/>
  <c r="L28" i="22"/>
  <c r="G28" i="22"/>
  <c r="R28" i="22" s="1"/>
  <c r="B28" i="22"/>
  <c r="A28" i="22"/>
  <c r="V27" i="22"/>
  <c r="U27" i="22"/>
  <c r="W27" i="22" s="1"/>
  <c r="Q27" i="22"/>
  <c r="L27" i="22"/>
  <c r="G27" i="22"/>
  <c r="R27" i="22" s="1"/>
  <c r="B27" i="22"/>
  <c r="A27" i="22"/>
  <c r="V26" i="22"/>
  <c r="U26" i="22"/>
  <c r="W26" i="22" s="1"/>
  <c r="Q26" i="22"/>
  <c r="L26" i="22"/>
  <c r="R26" i="22" s="1"/>
  <c r="G26" i="22"/>
  <c r="B26" i="22"/>
  <c r="A26" i="22"/>
  <c r="V25" i="22"/>
  <c r="U25" i="22"/>
  <c r="W25" i="22" s="1"/>
  <c r="Q25" i="22"/>
  <c r="L25" i="22"/>
  <c r="G25" i="22"/>
  <c r="R25" i="22" s="1"/>
  <c r="B25" i="22"/>
  <c r="A25" i="22"/>
  <c r="W24" i="22"/>
  <c r="V24" i="22"/>
  <c r="U24" i="22"/>
  <c r="Q24" i="22"/>
  <c r="L24" i="22"/>
  <c r="G24" i="22"/>
  <c r="R24" i="22" s="1"/>
  <c r="B24" i="22"/>
  <c r="A24" i="22"/>
  <c r="V23" i="22"/>
  <c r="U23" i="22"/>
  <c r="W23" i="22" s="1"/>
  <c r="Q23" i="22"/>
  <c r="L23" i="22"/>
  <c r="G23" i="22"/>
  <c r="R23" i="22" s="1"/>
  <c r="B23" i="22"/>
  <c r="A23" i="22"/>
  <c r="V22" i="22"/>
  <c r="U22" i="22"/>
  <c r="W22" i="22" s="1"/>
  <c r="Q22" i="22"/>
  <c r="L22" i="22"/>
  <c r="R22" i="22" s="1"/>
  <c r="G22" i="22"/>
  <c r="B22" i="22"/>
  <c r="A22" i="22"/>
  <c r="V21" i="22"/>
  <c r="U21" i="22"/>
  <c r="W21" i="22" s="1"/>
  <c r="Q21" i="22"/>
  <c r="L21" i="22"/>
  <c r="G21" i="22"/>
  <c r="R21" i="22" s="1"/>
  <c r="B21" i="22"/>
  <c r="A21" i="22"/>
  <c r="V20" i="22"/>
  <c r="U20" i="22"/>
  <c r="W20" i="22" s="1"/>
  <c r="Q20" i="22"/>
  <c r="L20" i="22"/>
  <c r="G20" i="22"/>
  <c r="R20" i="22" s="1"/>
  <c r="B20" i="22"/>
  <c r="A20" i="22"/>
  <c r="V19" i="22"/>
  <c r="U19" i="22"/>
  <c r="W19" i="22" s="1"/>
  <c r="Q19" i="22"/>
  <c r="L19" i="22"/>
  <c r="G19" i="22"/>
  <c r="R19" i="22" s="1"/>
  <c r="B19" i="22"/>
  <c r="A19" i="22"/>
  <c r="V18" i="22"/>
  <c r="U18" i="22"/>
  <c r="W18" i="22" s="1"/>
  <c r="Q18" i="22"/>
  <c r="L18" i="22"/>
  <c r="R18" i="22" s="1"/>
  <c r="G18" i="22"/>
  <c r="B18" i="22"/>
  <c r="A18" i="22"/>
  <c r="V17" i="22"/>
  <c r="U17" i="22"/>
  <c r="W17" i="22" s="1"/>
  <c r="Q17" i="22"/>
  <c r="L17" i="22"/>
  <c r="G17" i="22"/>
  <c r="R17" i="22" s="1"/>
  <c r="B17" i="22"/>
  <c r="A17" i="22"/>
  <c r="V16" i="22"/>
  <c r="U16" i="22"/>
  <c r="W16" i="22" s="1"/>
  <c r="Q16" i="22"/>
  <c r="L16" i="22"/>
  <c r="G16" i="22"/>
  <c r="R16" i="22" s="1"/>
  <c r="B16" i="22"/>
  <c r="A16" i="22"/>
  <c r="V15" i="22"/>
  <c r="U15" i="22"/>
  <c r="W15" i="22" s="1"/>
  <c r="Q15" i="22"/>
  <c r="L15" i="22"/>
  <c r="G15" i="22"/>
  <c r="R15" i="22" s="1"/>
  <c r="B15" i="22"/>
  <c r="A15" i="22"/>
  <c r="V14" i="22"/>
  <c r="U14" i="22"/>
  <c r="W14" i="22" s="1"/>
  <c r="Q14" i="22"/>
  <c r="L14" i="22"/>
  <c r="R14" i="22" s="1"/>
  <c r="G14" i="22"/>
  <c r="B14" i="22"/>
  <c r="A14" i="22"/>
  <c r="V13" i="22"/>
  <c r="U13" i="22"/>
  <c r="W13" i="22" s="1"/>
  <c r="Q13" i="22"/>
  <c r="L13" i="22"/>
  <c r="G13" i="22"/>
  <c r="R13" i="22" s="1"/>
  <c r="B13" i="22"/>
  <c r="A13" i="22"/>
  <c r="V12" i="22"/>
  <c r="U12" i="22"/>
  <c r="W12" i="22" s="1"/>
  <c r="Q12" i="22"/>
  <c r="L12" i="22"/>
  <c r="G12" i="22"/>
  <c r="R12" i="22" s="1"/>
  <c r="B12" i="22"/>
  <c r="A12" i="22"/>
  <c r="V11" i="22"/>
  <c r="U11" i="22"/>
  <c r="W11" i="22" s="1"/>
  <c r="Q11" i="22"/>
  <c r="L11" i="22"/>
  <c r="G11" i="22"/>
  <c r="R11" i="22" s="1"/>
  <c r="B11" i="22"/>
  <c r="A11" i="22"/>
  <c r="V10" i="22"/>
  <c r="U10" i="22"/>
  <c r="W10" i="22" s="1"/>
  <c r="Q10" i="22"/>
  <c r="L10" i="22"/>
  <c r="R10" i="22" s="1"/>
  <c r="G10" i="22"/>
  <c r="B10" i="22"/>
  <c r="A10" i="22"/>
  <c r="V9" i="22"/>
  <c r="U9" i="22"/>
  <c r="W9" i="22" s="1"/>
  <c r="Q9" i="22"/>
  <c r="L9" i="22"/>
  <c r="G9" i="22"/>
  <c r="R9" i="22" s="1"/>
  <c r="B9" i="22"/>
  <c r="A9" i="22"/>
  <c r="V8" i="22"/>
  <c r="U8" i="22"/>
  <c r="W8" i="22" s="1"/>
  <c r="Q8" i="22"/>
  <c r="L8" i="22"/>
  <c r="G8" i="22"/>
  <c r="R8" i="22" s="1"/>
  <c r="B8" i="22"/>
  <c r="A8" i="22"/>
  <c r="V7" i="22"/>
  <c r="U7" i="22"/>
  <c r="W7" i="22" s="1"/>
  <c r="Q7" i="22"/>
  <c r="L7" i="22"/>
  <c r="G7" i="22"/>
  <c r="R7" i="22" s="1"/>
  <c r="B7" i="22"/>
  <c r="A7" i="22"/>
  <c r="V6" i="22"/>
  <c r="U6" i="22"/>
  <c r="W6" i="22" s="1"/>
  <c r="Q6" i="22"/>
  <c r="L6" i="22"/>
  <c r="R6" i="22" s="1"/>
  <c r="G6" i="22"/>
  <c r="B6" i="22"/>
  <c r="A6" i="22"/>
  <c r="V5" i="22"/>
  <c r="U5" i="22"/>
  <c r="Q5" i="22"/>
  <c r="W5" i="22" s="1"/>
  <c r="L5" i="22"/>
  <c r="G5" i="22"/>
  <c r="R5" i="22" s="1"/>
  <c r="B5" i="22"/>
  <c r="A5" i="22"/>
  <c r="B3" i="22"/>
  <c r="T2" i="22"/>
  <c r="W6" i="19"/>
  <c r="W7" i="19"/>
  <c r="W8" i="19"/>
  <c r="W9" i="19"/>
  <c r="W10" i="19"/>
  <c r="W11" i="19"/>
  <c r="W12" i="19"/>
  <c r="W13" i="19"/>
  <c r="W14" i="19"/>
  <c r="W15" i="19"/>
  <c r="W16" i="19"/>
  <c r="W17" i="19"/>
  <c r="W18" i="19"/>
  <c r="W19" i="19"/>
  <c r="W20" i="19"/>
  <c r="W21" i="19"/>
  <c r="W22" i="19"/>
  <c r="W23" i="19"/>
  <c r="W24" i="19"/>
  <c r="W25" i="19"/>
  <c r="W26" i="19"/>
  <c r="W27" i="19"/>
  <c r="W28" i="19"/>
  <c r="W29" i="19"/>
  <c r="W30" i="19"/>
  <c r="W31" i="19"/>
  <c r="W32" i="19"/>
  <c r="W33" i="19"/>
  <c r="W34" i="19"/>
  <c r="W35" i="19"/>
  <c r="W36" i="19"/>
  <c r="T2" i="19"/>
  <c r="U6" i="19"/>
  <c r="V6" i="19"/>
  <c r="U7" i="19"/>
  <c r="V7" i="19"/>
  <c r="U8" i="19"/>
  <c r="V8" i="19"/>
  <c r="U9" i="19"/>
  <c r="V9" i="19"/>
  <c r="U10" i="19"/>
  <c r="V10" i="19"/>
  <c r="U11" i="19"/>
  <c r="V11" i="19"/>
  <c r="U12" i="19"/>
  <c r="V12" i="19"/>
  <c r="U13" i="19"/>
  <c r="V13" i="19"/>
  <c r="U14" i="19"/>
  <c r="V14" i="19"/>
  <c r="U15" i="19"/>
  <c r="V15" i="19"/>
  <c r="U16" i="19"/>
  <c r="V16" i="19"/>
  <c r="U17" i="19"/>
  <c r="V17" i="19"/>
  <c r="U18" i="19"/>
  <c r="V18" i="19"/>
  <c r="U19" i="19"/>
  <c r="V19" i="19"/>
  <c r="U20" i="19"/>
  <c r="V20" i="19"/>
  <c r="U21" i="19"/>
  <c r="V21" i="19"/>
  <c r="U22" i="19"/>
  <c r="V22" i="19"/>
  <c r="U23" i="19"/>
  <c r="V23" i="19"/>
  <c r="U24" i="19"/>
  <c r="V24" i="19"/>
  <c r="U25" i="19"/>
  <c r="V25" i="19"/>
  <c r="U26" i="19"/>
  <c r="V26" i="19"/>
  <c r="U27" i="19"/>
  <c r="V27" i="19"/>
  <c r="U28" i="19"/>
  <c r="V28" i="19"/>
  <c r="U29" i="19"/>
  <c r="V29" i="19"/>
  <c r="U30" i="19"/>
  <c r="V30" i="19"/>
  <c r="U31" i="19"/>
  <c r="V31" i="19"/>
  <c r="U32" i="19"/>
  <c r="V32" i="19"/>
  <c r="U33" i="19"/>
  <c r="V33" i="19"/>
  <c r="U34" i="19"/>
  <c r="V34" i="19"/>
  <c r="U35" i="19"/>
  <c r="V35" i="19"/>
  <c r="U36" i="19"/>
  <c r="V36" i="19"/>
  <c r="V5" i="19"/>
  <c r="U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L6" i="19"/>
  <c r="L7" i="19"/>
  <c r="L8" i="19"/>
  <c r="L9" i="19"/>
  <c r="L10" i="19"/>
  <c r="L11" i="19"/>
  <c r="L12" i="19"/>
  <c r="L13" i="19"/>
  <c r="L14" i="19"/>
  <c r="L15" i="19"/>
  <c r="L16" i="19"/>
  <c r="L17" i="19"/>
  <c r="L18" i="19"/>
  <c r="L19" i="19"/>
  <c r="L20" i="19"/>
  <c r="L21" i="19"/>
  <c r="L22" i="19"/>
  <c r="L23" i="19"/>
  <c r="L24" i="19"/>
  <c r="L25" i="19"/>
  <c r="L26" i="19"/>
  <c r="L27" i="19"/>
  <c r="L28" i="19"/>
  <c r="L29" i="19"/>
  <c r="L30" i="19"/>
  <c r="L31" i="19"/>
  <c r="R31" i="19" s="1"/>
  <c r="L32" i="19"/>
  <c r="L33" i="19"/>
  <c r="L34" i="19"/>
  <c r="L35" i="19"/>
  <c r="L36" i="19"/>
  <c r="Q6" i="19"/>
  <c r="Q7" i="19"/>
  <c r="Q8" i="19"/>
  <c r="Q9" i="19"/>
  <c r="Q10" i="19"/>
  <c r="Q11" i="19"/>
  <c r="Q12" i="19"/>
  <c r="R12" i="19" s="1"/>
  <c r="Q13" i="19"/>
  <c r="R13" i="19" s="1"/>
  <c r="Q14" i="19"/>
  <c r="Q15" i="19"/>
  <c r="Q16" i="19"/>
  <c r="Q17" i="19"/>
  <c r="Q18" i="19"/>
  <c r="Q19" i="19"/>
  <c r="Q20" i="19"/>
  <c r="Q21" i="19"/>
  <c r="R21" i="19" s="1"/>
  <c r="Q22" i="19"/>
  <c r="Q23" i="19"/>
  <c r="Q24" i="19"/>
  <c r="R24" i="19" s="1"/>
  <c r="Q25" i="19"/>
  <c r="Q26" i="19"/>
  <c r="Q27" i="19"/>
  <c r="Q28" i="19"/>
  <c r="Q29" i="19"/>
  <c r="Q30" i="19"/>
  <c r="R30" i="19" s="1"/>
  <c r="Q31" i="19"/>
  <c r="Q32" i="19"/>
  <c r="Q33" i="19"/>
  <c r="Q34" i="19"/>
  <c r="Q35" i="19"/>
  <c r="Q36" i="19"/>
  <c r="R36" i="19" s="1"/>
  <c r="R9" i="19"/>
  <c r="R14" i="19"/>
  <c r="R26" i="19"/>
  <c r="R33" i="19"/>
  <c r="R34" i="19"/>
  <c r="Q3" i="19"/>
  <c r="B3" i="19"/>
  <c r="Q5" i="19"/>
  <c r="L5" i="19"/>
  <c r="G5" i="19"/>
  <c r="B6" i="19"/>
  <c r="B7" i="19"/>
  <c r="B8" i="19"/>
  <c r="B9" i="19"/>
  <c r="B10" i="19"/>
  <c r="B11" i="19"/>
  <c r="B12" i="19"/>
  <c r="B13" i="19"/>
  <c r="B14" i="19"/>
  <c r="B15" i="19"/>
  <c r="B16" i="19"/>
  <c r="B17" i="19"/>
  <c r="B18" i="19"/>
  <c r="B19" i="19"/>
  <c r="B20" i="19"/>
  <c r="B21" i="19"/>
  <c r="B22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A36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B5" i="19"/>
  <c r="A5" i="19"/>
  <c r="R6" i="28" l="1"/>
  <c r="R8" i="28"/>
  <c r="R16" i="28"/>
  <c r="R24" i="28"/>
  <c r="R32" i="28"/>
  <c r="R14" i="28"/>
  <c r="R22" i="28"/>
  <c r="R30" i="28"/>
  <c r="R10" i="28"/>
  <c r="R18" i="28"/>
  <c r="R26" i="28"/>
  <c r="R34" i="28"/>
  <c r="R12" i="28"/>
  <c r="R20" i="28"/>
  <c r="R28" i="28"/>
  <c r="R36" i="28"/>
  <c r="R5" i="37"/>
  <c r="R5" i="32"/>
  <c r="W5" i="19"/>
  <c r="R35" i="19"/>
  <c r="R25" i="19"/>
  <c r="R23" i="19"/>
  <c r="R22" i="19"/>
  <c r="R10" i="19"/>
  <c r="R32" i="19"/>
  <c r="R20" i="19"/>
  <c r="R8" i="19"/>
  <c r="R19" i="19"/>
  <c r="R18" i="19"/>
  <c r="R6" i="19"/>
  <c r="R27" i="19"/>
  <c r="R15" i="19"/>
  <c r="R11" i="19"/>
  <c r="R5" i="19"/>
  <c r="R7" i="19"/>
  <c r="R29" i="19"/>
  <c r="R17" i="19"/>
  <c r="R28" i="19"/>
  <c r="R16" i="19"/>
</calcChain>
</file>

<file path=xl/sharedStrings.xml><?xml version="1.0" encoding="utf-8"?>
<sst xmlns="http://schemas.openxmlformats.org/spreadsheetml/2006/main" count="572" uniqueCount="109">
  <si>
    <t>Lengua</t>
  </si>
  <si>
    <t>Lengua Extranjera</t>
  </si>
  <si>
    <t>Geografía</t>
  </si>
  <si>
    <t>Historia</t>
  </si>
  <si>
    <t>Formación Ética y Ciudadana</t>
  </si>
  <si>
    <t>Educación Física</t>
  </si>
  <si>
    <t>Matemática I</t>
  </si>
  <si>
    <t>Biología I</t>
  </si>
  <si>
    <t>Dibujo Técnico I</t>
  </si>
  <si>
    <t>Tecnología I</t>
  </si>
  <si>
    <t>Taller Electricidad I</t>
  </si>
  <si>
    <t>Taller Carpintería I</t>
  </si>
  <si>
    <t>Taller Hojalatería</t>
  </si>
  <si>
    <t>Taller Ajuste Mecánico</t>
  </si>
  <si>
    <t>Taller Informática I</t>
  </si>
  <si>
    <t>Taller Construcciones I</t>
  </si>
  <si>
    <t>Materias</t>
  </si>
  <si>
    <t>DNI</t>
  </si>
  <si>
    <t>N°</t>
  </si>
  <si>
    <t>APELLIDO Y NOMBRE</t>
  </si>
  <si>
    <t>PROM</t>
  </si>
  <si>
    <t>CALIF. DIC.</t>
  </si>
  <si>
    <t>CALIF. MAR.</t>
  </si>
  <si>
    <t>PROM. FINAL</t>
  </si>
  <si>
    <t>Nº</t>
  </si>
  <si>
    <t>PROM TRIM</t>
  </si>
  <si>
    <t>Escuela Provincial de Educación Técnica Nº 21</t>
  </si>
  <si>
    <t>Consejo General de Educación</t>
  </si>
  <si>
    <t>Planilla de Califiaciones</t>
  </si>
  <si>
    <t>Curso:</t>
  </si>
  <si>
    <t>1-A</t>
  </si>
  <si>
    <t>1º T</t>
  </si>
  <si>
    <t>2º T</t>
  </si>
  <si>
    <t>3º T</t>
  </si>
  <si>
    <t>Materia</t>
  </si>
  <si>
    <t>Ciclo Lectivo</t>
  </si>
  <si>
    <t>Preceptor/a:</t>
  </si>
  <si>
    <t>Apellido</t>
  </si>
  <si>
    <t>RODRIGUEZ</t>
  </si>
  <si>
    <t>DOS SANTOS</t>
  </si>
  <si>
    <t>Preceptor/a</t>
  </si>
  <si>
    <t>PROM.MESA-DIC</t>
  </si>
  <si>
    <t>PROM.MESA-MAR</t>
  </si>
  <si>
    <t>Pinino</t>
  </si>
  <si>
    <t>Alumnos</t>
  </si>
  <si>
    <t>Curso</t>
  </si>
  <si>
    <t>Apellido Nombre</t>
  </si>
  <si>
    <t>Año</t>
  </si>
  <si>
    <t>Calificaciones 1º Trimestre</t>
  </si>
  <si>
    <t>Calificaciones 2º Trimestre</t>
  </si>
  <si>
    <t>Calificaciones 3º Trimestre</t>
  </si>
  <si>
    <t>-</t>
  </si>
  <si>
    <t>ARCE</t>
  </si>
  <si>
    <t>AYALA</t>
  </si>
  <si>
    <t>BOGADO</t>
  </si>
  <si>
    <t>BREZ PROCOPIO</t>
  </si>
  <si>
    <t>BRITEZ</t>
  </si>
  <si>
    <t>CACERES</t>
  </si>
  <si>
    <t>CANEPPELE</t>
  </si>
  <si>
    <t>CUELICHE</t>
  </si>
  <si>
    <t>DA LUZ</t>
  </si>
  <si>
    <t>DA SILVA</t>
  </si>
  <si>
    <t>DORNEL</t>
  </si>
  <si>
    <t>IGLESIAS</t>
  </si>
  <si>
    <t>KARUCHEK PEREYRA</t>
  </si>
  <si>
    <t>LOPEZ</t>
  </si>
  <si>
    <t>MACIEL GOMEZ</t>
  </si>
  <si>
    <t>PADILLA</t>
  </si>
  <si>
    <t>PATZER</t>
  </si>
  <si>
    <t>SCHUVARTZ</t>
  </si>
  <si>
    <t>SILVERA ILLESCAS</t>
  </si>
  <si>
    <t>SILVERO</t>
  </si>
  <si>
    <t>STRIEDER</t>
  </si>
  <si>
    <t>TOLEDO PEREZ</t>
  </si>
  <si>
    <t>VASCO TEXEIRA</t>
  </si>
  <si>
    <t>VIDOTTO</t>
  </si>
  <si>
    <t>EMILY MILAGROS</t>
  </si>
  <si>
    <t>VILLALBA</t>
  </si>
  <si>
    <t>WANDSCHEER</t>
  </si>
  <si>
    <t>Fecha de Nacimiento</t>
  </si>
  <si>
    <t>Nombre</t>
  </si>
  <si>
    <t xml:space="preserve"> TIAGO ARIEL</t>
  </si>
  <si>
    <t xml:space="preserve"> CRISTIAN ORLANDO</t>
  </si>
  <si>
    <t xml:space="preserve"> JONAS NATANIEL</t>
  </si>
  <si>
    <t xml:space="preserve"> ANYELINA</t>
  </si>
  <si>
    <t xml:space="preserve"> BRENDA</t>
  </si>
  <si>
    <t xml:space="preserve"> NAHIARA ANALIA</t>
  </si>
  <si>
    <t xml:space="preserve"> SOFIA MARIEL</t>
  </si>
  <si>
    <t xml:space="preserve"> ELISANDRO MICAEL</t>
  </si>
  <si>
    <t xml:space="preserve"> FABRICIO TADEO</t>
  </si>
  <si>
    <t xml:space="preserve"> ALEX AGUSTIN</t>
  </si>
  <si>
    <t xml:space="preserve"> RUTH ABIGAIL</t>
  </si>
  <si>
    <t xml:space="preserve"> MAGALI LEONELA</t>
  </si>
  <si>
    <t xml:space="preserve"> ANGEL GABRIEL</t>
  </si>
  <si>
    <t xml:space="preserve"> WANDA ADALAY</t>
  </si>
  <si>
    <t xml:space="preserve"> BRANDON EZEQUIEL</t>
  </si>
  <si>
    <t xml:space="preserve"> ELVIN LEONEL</t>
  </si>
  <si>
    <t xml:space="preserve"> LIONEL NICOLAS</t>
  </si>
  <si>
    <t xml:space="preserve"> JUNIOR EZEQUIEL</t>
  </si>
  <si>
    <t xml:space="preserve"> AXEL EMANUEL</t>
  </si>
  <si>
    <t xml:space="preserve"> BRUNO SEBASTIAN</t>
  </si>
  <si>
    <t xml:space="preserve"> MIGUEL MARCELO ARIEL</t>
  </si>
  <si>
    <t xml:space="preserve"> RAMIRO GONZALO</t>
  </si>
  <si>
    <t xml:space="preserve"> GUADALUPE ITATI</t>
  </si>
  <si>
    <t xml:space="preserve"> MIA ANTONELLA</t>
  </si>
  <si>
    <t xml:space="preserve"> MATIAS GABRIEL</t>
  </si>
  <si>
    <t xml:space="preserve"> EMILIANA</t>
  </si>
  <si>
    <t xml:space="preserve"> LAUTARO DANIEL</t>
  </si>
  <si>
    <t xml:space="preserve"> ARMANDO NICOLAS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</si>
</sst>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name val="Consolas"/>
      <family val="3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sz val="11"/>
      <name val="Consolas"/>
      <family val="3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3" fillId="0" borderId="0" xfId="0" applyFont="1"/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3" fontId="1" fillId="0" borderId="1" xfId="0" applyNumberFormat="1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textRotation="90"/>
    </xf>
    <xf numFmtId="0" fontId="3" fillId="0" borderId="1" xfId="0" applyFont="1" applyBorder="1" applyAlignment="1">
      <alignment horizontal="center" vertical="center" textRotation="90"/>
    </xf>
    <xf numFmtId="0" fontId="2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</cellXfs>
  <cellStyles count="1">
    <cellStyle name="Normal" xfId="0" builtinId="0"/>
  </cellStyles>
  <dxfs count="136"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AC4FE-8EF3-47E9-A512-F2287C4D573A}">
  <sheetPr codeName="Hoja38">
    <tabColor rgb="FF00B0F0"/>
  </sheetPr>
  <dimension ref="A1:T36"/>
  <sheetViews>
    <sheetView showGridLines="0" zoomScaleNormal="100" workbookViewId="0">
      <selection activeCell="C4" sqref="C4:R4"/>
    </sheetView>
  </sheetViews>
  <sheetFormatPr baseColWidth="10" defaultColWidth="5.7109375" defaultRowHeight="15" x14ac:dyDescent="0.25"/>
  <cols>
    <col min="1" max="1" width="6.7109375" style="26" bestFit="1" customWidth="1"/>
    <col min="2" max="2" width="40.5703125" style="26" bestFit="1" customWidth="1"/>
    <col min="3" max="18" width="3.7109375" style="28" customWidth="1"/>
    <col min="19" max="16384" width="5.7109375" style="26"/>
  </cols>
  <sheetData>
    <row r="1" spans="1:20" x14ac:dyDescent="0.25">
      <c r="A1" s="12" t="s">
        <v>47</v>
      </c>
      <c r="B1" s="11">
        <v>2024</v>
      </c>
      <c r="C1" s="29" t="str">
        <f>Plantilla!A1</f>
        <v>Escuela Provincial de Educación Técnica Nº 21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7"/>
      <c r="T1" s="27"/>
    </row>
    <row r="2" spans="1:20" x14ac:dyDescent="0.25">
      <c r="A2" s="12" t="s">
        <v>45</v>
      </c>
      <c r="B2" s="11" t="str">
        <f>Alumnos!B1</f>
        <v>1-A</v>
      </c>
      <c r="C2" s="30" t="s">
        <v>50</v>
      </c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2"/>
    </row>
    <row r="3" spans="1:20" ht="170.25" x14ac:dyDescent="0.25">
      <c r="A3" s="25" t="s">
        <v>44</v>
      </c>
      <c r="B3" s="25" t="s">
        <v>16</v>
      </c>
      <c r="C3" s="24" t="str">
        <f>Lengua!Q3</f>
        <v>Lengua</v>
      </c>
      <c r="D3" s="24" t="s">
        <v>1</v>
      </c>
      <c r="E3" s="24" t="s">
        <v>2</v>
      </c>
      <c r="F3" s="24" t="s">
        <v>3</v>
      </c>
      <c r="G3" s="24" t="s">
        <v>4</v>
      </c>
      <c r="H3" s="24" t="s">
        <v>5</v>
      </c>
      <c r="I3" s="24" t="s">
        <v>6</v>
      </c>
      <c r="J3" s="24" t="s">
        <v>7</v>
      </c>
      <c r="K3" s="24" t="s">
        <v>8</v>
      </c>
      <c r="L3" s="24" t="s">
        <v>9</v>
      </c>
      <c r="M3" s="24" t="s">
        <v>10</v>
      </c>
      <c r="N3" s="24" t="s">
        <v>11</v>
      </c>
      <c r="O3" s="24" t="s">
        <v>12</v>
      </c>
      <c r="P3" s="24" t="s">
        <v>13</v>
      </c>
      <c r="Q3" s="24" t="s">
        <v>14</v>
      </c>
      <c r="R3" s="24" t="s">
        <v>15</v>
      </c>
    </row>
    <row r="4" spans="1:20" x14ac:dyDescent="0.25">
      <c r="A4" s="12" t="s">
        <v>24</v>
      </c>
      <c r="B4" s="12" t="s">
        <v>46</v>
      </c>
      <c r="C4" s="16" t="s">
        <v>51</v>
      </c>
      <c r="D4" s="23" t="s">
        <v>51</v>
      </c>
      <c r="E4" s="23" t="s">
        <v>51</v>
      </c>
      <c r="F4" s="23" t="s">
        <v>51</v>
      </c>
      <c r="G4" s="23" t="s">
        <v>51</v>
      </c>
      <c r="H4" s="23" t="s">
        <v>51</v>
      </c>
      <c r="I4" s="23" t="s">
        <v>51</v>
      </c>
      <c r="J4" s="23" t="s">
        <v>51</v>
      </c>
      <c r="K4" s="23" t="s">
        <v>51</v>
      </c>
      <c r="L4" s="23" t="s">
        <v>51</v>
      </c>
      <c r="M4" s="23" t="s">
        <v>51</v>
      </c>
      <c r="N4" s="23" t="s">
        <v>51</v>
      </c>
      <c r="O4" s="23" t="s">
        <v>51</v>
      </c>
      <c r="P4" s="23" t="s">
        <v>51</v>
      </c>
      <c r="Q4" s="23" t="s">
        <v>51</v>
      </c>
      <c r="R4" s="23" t="s">
        <v>51</v>
      </c>
    </row>
    <row r="5" spans="1:20" x14ac:dyDescent="0.25">
      <c r="A5" s="11">
        <f>Alumnos!A3</f>
        <v>1</v>
      </c>
      <c r="B5" s="11" t="str">
        <f>_xlfn.CONCAT(Alumnos!C3:D3)</f>
        <v>ARCE TIAGO ARIEL</v>
      </c>
      <c r="C5" s="16">
        <f>Lengua!Q5</f>
        <v>0</v>
      </c>
      <c r="D5" s="16">
        <f>'Lengua Extranjera'!Q5</f>
        <v>0</v>
      </c>
      <c r="E5" s="16">
        <f>Geografía!Q5</f>
        <v>0</v>
      </c>
      <c r="F5" s="16">
        <f>Historia!Q5</f>
        <v>0</v>
      </c>
      <c r="G5" s="16">
        <f>'Formación Ética y Ciudadana'!Q5</f>
        <v>0</v>
      </c>
      <c r="H5" s="16">
        <f>'Educación Física'!Q5</f>
        <v>0</v>
      </c>
      <c r="I5" s="16">
        <f>'Matemática I'!Q5</f>
        <v>0</v>
      </c>
      <c r="J5" s="16">
        <f>'Biología I'!Q5</f>
        <v>0</v>
      </c>
      <c r="K5" s="16">
        <f>'Dibujo Técnico I'!Q5</f>
        <v>0</v>
      </c>
      <c r="L5" s="16">
        <f>'Tecnología I'!Q5</f>
        <v>0</v>
      </c>
      <c r="M5" s="16">
        <f>'Taller Electricidad I'!Q5</f>
        <v>0</v>
      </c>
      <c r="N5" s="16">
        <f>'Taller Carpintería I'!Q5</f>
        <v>0</v>
      </c>
      <c r="O5" s="16">
        <f>'Taller Hojalatería'!Q5</f>
        <v>0</v>
      </c>
      <c r="P5" s="16">
        <f>'Taller Ajuste Mecánico'!Q5</f>
        <v>0</v>
      </c>
      <c r="Q5" s="16">
        <f>'Taller Informática I'!Q5</f>
        <v>0</v>
      </c>
      <c r="R5" s="16">
        <f>'Taller Construcciones I'!Q5</f>
        <v>0</v>
      </c>
    </row>
    <row r="6" spans="1:20" x14ac:dyDescent="0.25">
      <c r="A6" s="11">
        <f>Alumnos!A4</f>
        <v>2</v>
      </c>
      <c r="B6" s="11" t="str">
        <f>_xlfn.CONCAT(Alumnos!C4:D4)</f>
        <v>AYALA CRISTIAN ORLANDO</v>
      </c>
      <c r="C6" s="16">
        <f>Lengua!Q6</f>
        <v>0</v>
      </c>
      <c r="D6" s="16">
        <f>'Lengua Extranjera'!Q6</f>
        <v>0</v>
      </c>
      <c r="E6" s="16">
        <f>Geografía!Q6</f>
        <v>0</v>
      </c>
      <c r="F6" s="16">
        <f>Historia!Q6</f>
        <v>0</v>
      </c>
      <c r="G6" s="16">
        <f>'Formación Ética y Ciudadana'!Q6</f>
        <v>0</v>
      </c>
      <c r="H6" s="16">
        <f>'Educación Física'!Q6</f>
        <v>0</v>
      </c>
      <c r="I6" s="16">
        <f>'Matemática I'!Q6</f>
        <v>0</v>
      </c>
      <c r="J6" s="16">
        <f>'Biología I'!Q6</f>
        <v>0</v>
      </c>
      <c r="K6" s="16">
        <f>'Dibujo Técnico I'!Q6</f>
        <v>0</v>
      </c>
      <c r="L6" s="16">
        <f>'Tecnología I'!Q6</f>
        <v>0</v>
      </c>
      <c r="M6" s="16">
        <f>'Taller Electricidad I'!Q6</f>
        <v>0</v>
      </c>
      <c r="N6" s="16">
        <f>'Taller Carpintería I'!Q6</f>
        <v>0</v>
      </c>
      <c r="O6" s="16">
        <f>'Taller Hojalatería'!Q6</f>
        <v>0</v>
      </c>
      <c r="P6" s="16">
        <f>'Taller Ajuste Mecánico'!Q6</f>
        <v>0</v>
      </c>
      <c r="Q6" s="16">
        <f>'Taller Informática I'!Q6</f>
        <v>0</v>
      </c>
      <c r="R6" s="16">
        <f>'Taller Construcciones I'!Q6</f>
        <v>0</v>
      </c>
    </row>
    <row r="7" spans="1:20" x14ac:dyDescent="0.25">
      <c r="A7" s="11">
        <f>Alumnos!A5</f>
        <v>3</v>
      </c>
      <c r="B7" s="11" t="str">
        <f>_xlfn.CONCAT(Alumnos!C5:D5)</f>
        <v>BOGADO JONAS NATANIEL</v>
      </c>
      <c r="C7" s="16">
        <f>Lengua!Q7</f>
        <v>0</v>
      </c>
      <c r="D7" s="16">
        <f>'Lengua Extranjera'!Q7</f>
        <v>0</v>
      </c>
      <c r="E7" s="16">
        <f>Geografía!Q7</f>
        <v>0</v>
      </c>
      <c r="F7" s="16">
        <f>Historia!Q7</f>
        <v>0</v>
      </c>
      <c r="G7" s="16">
        <f>'Formación Ética y Ciudadana'!Q7</f>
        <v>0</v>
      </c>
      <c r="H7" s="16">
        <f>'Educación Física'!Q7</f>
        <v>0</v>
      </c>
      <c r="I7" s="16">
        <f>'Matemática I'!Q7</f>
        <v>0</v>
      </c>
      <c r="J7" s="16">
        <f>'Biología I'!Q7</f>
        <v>0</v>
      </c>
      <c r="K7" s="16">
        <f>'Dibujo Técnico I'!Q7</f>
        <v>0</v>
      </c>
      <c r="L7" s="16">
        <f>'Tecnología I'!Q7</f>
        <v>0</v>
      </c>
      <c r="M7" s="16">
        <f>'Taller Electricidad I'!Q7</f>
        <v>0</v>
      </c>
      <c r="N7" s="16">
        <f>'Taller Carpintería I'!Q7</f>
        <v>0</v>
      </c>
      <c r="O7" s="16">
        <f>'Taller Hojalatería'!Q7</f>
        <v>0</v>
      </c>
      <c r="P7" s="16">
        <f>'Taller Ajuste Mecánico'!Q7</f>
        <v>0</v>
      </c>
      <c r="Q7" s="16">
        <f>'Taller Informática I'!Q7</f>
        <v>0</v>
      </c>
      <c r="R7" s="16">
        <f>'Taller Construcciones I'!Q7</f>
        <v>0</v>
      </c>
    </row>
    <row r="8" spans="1:20" x14ac:dyDescent="0.25">
      <c r="A8" s="11">
        <f>Alumnos!A6</f>
        <v>4</v>
      </c>
      <c r="B8" s="11" t="str">
        <f>_xlfn.CONCAT(Alumnos!C6:D6)</f>
        <v>BREZ PROCOPIO ANYELINA</v>
      </c>
      <c r="C8" s="16">
        <f>Lengua!Q8</f>
        <v>0</v>
      </c>
      <c r="D8" s="16">
        <f>'Lengua Extranjera'!Q8</f>
        <v>0</v>
      </c>
      <c r="E8" s="16">
        <f>Geografía!Q8</f>
        <v>0</v>
      </c>
      <c r="F8" s="16">
        <f>Historia!Q8</f>
        <v>0</v>
      </c>
      <c r="G8" s="16">
        <f>'Formación Ética y Ciudadana'!Q8</f>
        <v>0</v>
      </c>
      <c r="H8" s="16">
        <f>'Educación Física'!Q8</f>
        <v>0</v>
      </c>
      <c r="I8" s="16">
        <f>'Matemática I'!Q8</f>
        <v>0</v>
      </c>
      <c r="J8" s="16">
        <f>'Biología I'!Q8</f>
        <v>0</v>
      </c>
      <c r="K8" s="16">
        <f>'Dibujo Técnico I'!Q8</f>
        <v>0</v>
      </c>
      <c r="L8" s="16">
        <f>'Tecnología I'!Q8</f>
        <v>0</v>
      </c>
      <c r="M8" s="16">
        <f>'Taller Electricidad I'!Q8</f>
        <v>0</v>
      </c>
      <c r="N8" s="16">
        <f>'Taller Carpintería I'!Q8</f>
        <v>0</v>
      </c>
      <c r="O8" s="16">
        <f>'Taller Hojalatería'!Q8</f>
        <v>0</v>
      </c>
      <c r="P8" s="16">
        <f>'Taller Ajuste Mecánico'!Q8</f>
        <v>0</v>
      </c>
      <c r="Q8" s="16">
        <f>'Taller Informática I'!Q8</f>
        <v>0</v>
      </c>
      <c r="R8" s="16">
        <f>'Taller Construcciones I'!Q8</f>
        <v>0</v>
      </c>
    </row>
    <row r="9" spans="1:20" x14ac:dyDescent="0.25">
      <c r="A9" s="11">
        <f>Alumnos!A7</f>
        <v>5</v>
      </c>
      <c r="B9" s="11" t="str">
        <f>_xlfn.CONCAT(Alumnos!C7:D7)</f>
        <v>BREZ PROCOPIO BRENDA</v>
      </c>
      <c r="C9" s="16">
        <f>Lengua!Q9</f>
        <v>0</v>
      </c>
      <c r="D9" s="16">
        <f>'Lengua Extranjera'!Q9</f>
        <v>0</v>
      </c>
      <c r="E9" s="16">
        <f>Geografía!Q9</f>
        <v>0</v>
      </c>
      <c r="F9" s="16">
        <f>Historia!Q9</f>
        <v>0</v>
      </c>
      <c r="G9" s="16">
        <f>'Formación Ética y Ciudadana'!Q9</f>
        <v>0</v>
      </c>
      <c r="H9" s="16">
        <f>'Educación Física'!Q9</f>
        <v>0</v>
      </c>
      <c r="I9" s="16">
        <f>'Matemática I'!Q9</f>
        <v>0</v>
      </c>
      <c r="J9" s="16">
        <f>'Biología I'!Q9</f>
        <v>0</v>
      </c>
      <c r="K9" s="16">
        <f>'Dibujo Técnico I'!Q9</f>
        <v>0</v>
      </c>
      <c r="L9" s="16">
        <f>'Tecnología I'!Q9</f>
        <v>0</v>
      </c>
      <c r="M9" s="16">
        <f>'Taller Electricidad I'!Q9</f>
        <v>0</v>
      </c>
      <c r="N9" s="16">
        <f>'Taller Carpintería I'!Q9</f>
        <v>0</v>
      </c>
      <c r="O9" s="16">
        <f>'Taller Hojalatería'!Q9</f>
        <v>0</v>
      </c>
      <c r="P9" s="16">
        <f>'Taller Ajuste Mecánico'!Q9</f>
        <v>0</v>
      </c>
      <c r="Q9" s="16">
        <f>'Taller Informática I'!Q9</f>
        <v>0</v>
      </c>
      <c r="R9" s="16">
        <f>'Taller Construcciones I'!Q9</f>
        <v>0</v>
      </c>
    </row>
    <row r="10" spans="1:20" x14ac:dyDescent="0.25">
      <c r="A10" s="11">
        <f>Alumnos!A8</f>
        <v>6</v>
      </c>
      <c r="B10" s="11" t="str">
        <f>_xlfn.CONCAT(Alumnos!C8:D8)</f>
        <v>BRITEZ NAHIARA ANALIA</v>
      </c>
      <c r="C10" s="16">
        <f>Lengua!Q10</f>
        <v>0</v>
      </c>
      <c r="D10" s="16">
        <f>'Lengua Extranjera'!Q10</f>
        <v>0</v>
      </c>
      <c r="E10" s="16">
        <f>Geografía!Q10</f>
        <v>0</v>
      </c>
      <c r="F10" s="16">
        <f>Historia!Q10</f>
        <v>0</v>
      </c>
      <c r="G10" s="16">
        <f>'Formación Ética y Ciudadana'!Q10</f>
        <v>0</v>
      </c>
      <c r="H10" s="16">
        <f>'Educación Física'!Q10</f>
        <v>0</v>
      </c>
      <c r="I10" s="16">
        <f>'Matemática I'!Q10</f>
        <v>0</v>
      </c>
      <c r="J10" s="16">
        <f>'Biología I'!Q10</f>
        <v>0</v>
      </c>
      <c r="K10" s="16">
        <f>'Dibujo Técnico I'!Q10</f>
        <v>0</v>
      </c>
      <c r="L10" s="16">
        <f>'Tecnología I'!Q10</f>
        <v>0</v>
      </c>
      <c r="M10" s="16">
        <f>'Taller Electricidad I'!Q10</f>
        <v>0</v>
      </c>
      <c r="N10" s="16">
        <f>'Taller Carpintería I'!Q10</f>
        <v>0</v>
      </c>
      <c r="O10" s="16">
        <f>'Taller Hojalatería'!Q10</f>
        <v>0</v>
      </c>
      <c r="P10" s="16">
        <f>'Taller Ajuste Mecánico'!Q10</f>
        <v>0</v>
      </c>
      <c r="Q10" s="16">
        <f>'Taller Informática I'!Q10</f>
        <v>0</v>
      </c>
      <c r="R10" s="16">
        <f>'Taller Construcciones I'!Q10</f>
        <v>0</v>
      </c>
    </row>
    <row r="11" spans="1:20" x14ac:dyDescent="0.25">
      <c r="A11" s="11">
        <f>Alumnos!A9</f>
        <v>7</v>
      </c>
      <c r="B11" s="11" t="str">
        <f>_xlfn.CONCAT(Alumnos!C9:D9)</f>
        <v>CACERES SOFIA MARIEL</v>
      </c>
      <c r="C11" s="16">
        <f>Lengua!Q11</f>
        <v>0</v>
      </c>
      <c r="D11" s="16">
        <f>'Lengua Extranjera'!Q11</f>
        <v>0</v>
      </c>
      <c r="E11" s="16">
        <f>Geografía!Q11</f>
        <v>0</v>
      </c>
      <c r="F11" s="16">
        <f>Historia!Q11</f>
        <v>0</v>
      </c>
      <c r="G11" s="16">
        <f>'Formación Ética y Ciudadana'!Q11</f>
        <v>0</v>
      </c>
      <c r="H11" s="16">
        <f>'Educación Física'!Q11</f>
        <v>0</v>
      </c>
      <c r="I11" s="16">
        <f>'Matemática I'!Q11</f>
        <v>0</v>
      </c>
      <c r="J11" s="16">
        <f>'Biología I'!Q11</f>
        <v>0</v>
      </c>
      <c r="K11" s="16">
        <f>'Dibujo Técnico I'!Q11</f>
        <v>0</v>
      </c>
      <c r="L11" s="16">
        <f>'Tecnología I'!Q11</f>
        <v>0</v>
      </c>
      <c r="M11" s="16">
        <f>'Taller Electricidad I'!Q11</f>
        <v>0</v>
      </c>
      <c r="N11" s="16">
        <f>'Taller Carpintería I'!Q11</f>
        <v>0</v>
      </c>
      <c r="O11" s="16">
        <f>'Taller Hojalatería'!Q11</f>
        <v>0</v>
      </c>
      <c r="P11" s="16">
        <f>'Taller Ajuste Mecánico'!Q11</f>
        <v>0</v>
      </c>
      <c r="Q11" s="16">
        <f>'Taller Informática I'!Q11</f>
        <v>0</v>
      </c>
      <c r="R11" s="16">
        <f>'Taller Construcciones I'!Q11</f>
        <v>0</v>
      </c>
    </row>
    <row r="12" spans="1:20" x14ac:dyDescent="0.25">
      <c r="A12" s="11">
        <f>Alumnos!A10</f>
        <v>8</v>
      </c>
      <c r="B12" s="11" t="str">
        <f>_xlfn.CONCAT(Alumnos!C10:D10)</f>
        <v>CANEPPELE ELISANDRO MICAEL</v>
      </c>
      <c r="C12" s="16">
        <f>Lengua!Q12</f>
        <v>0</v>
      </c>
      <c r="D12" s="16">
        <f>'Lengua Extranjera'!Q12</f>
        <v>0</v>
      </c>
      <c r="E12" s="16">
        <f>Geografía!Q12</f>
        <v>0</v>
      </c>
      <c r="F12" s="16">
        <f>Historia!Q12</f>
        <v>0</v>
      </c>
      <c r="G12" s="16">
        <f>'Formación Ética y Ciudadana'!Q12</f>
        <v>0</v>
      </c>
      <c r="H12" s="16">
        <f>'Educación Física'!Q12</f>
        <v>0</v>
      </c>
      <c r="I12" s="16">
        <f>'Matemática I'!Q12</f>
        <v>0</v>
      </c>
      <c r="J12" s="16">
        <f>'Biología I'!Q12</f>
        <v>0</v>
      </c>
      <c r="K12" s="16">
        <f>'Dibujo Técnico I'!Q12</f>
        <v>0</v>
      </c>
      <c r="L12" s="16">
        <f>'Tecnología I'!Q12</f>
        <v>0</v>
      </c>
      <c r="M12" s="16">
        <f>'Taller Electricidad I'!Q12</f>
        <v>0</v>
      </c>
      <c r="N12" s="16">
        <f>'Taller Carpintería I'!Q12</f>
        <v>0</v>
      </c>
      <c r="O12" s="16">
        <f>'Taller Hojalatería'!Q12</f>
        <v>0</v>
      </c>
      <c r="P12" s="16">
        <f>'Taller Ajuste Mecánico'!Q12</f>
        <v>0</v>
      </c>
      <c r="Q12" s="16">
        <f>'Taller Informática I'!Q12</f>
        <v>0</v>
      </c>
      <c r="R12" s="16">
        <f>'Taller Construcciones I'!Q12</f>
        <v>0</v>
      </c>
    </row>
    <row r="13" spans="1:20" x14ac:dyDescent="0.25">
      <c r="A13" s="11">
        <f>Alumnos!A11</f>
        <v>9</v>
      </c>
      <c r="B13" s="11" t="str">
        <f>_xlfn.CONCAT(Alumnos!C11:D11)</f>
        <v>CUELICHE FABRICIO TADEO</v>
      </c>
      <c r="C13" s="16">
        <f>Lengua!Q13</f>
        <v>0</v>
      </c>
      <c r="D13" s="16">
        <f>'Lengua Extranjera'!Q13</f>
        <v>0</v>
      </c>
      <c r="E13" s="16">
        <f>Geografía!Q13</f>
        <v>0</v>
      </c>
      <c r="F13" s="16">
        <f>Historia!Q13</f>
        <v>0</v>
      </c>
      <c r="G13" s="16">
        <f>'Formación Ética y Ciudadana'!Q13</f>
        <v>0</v>
      </c>
      <c r="H13" s="16">
        <f>'Educación Física'!Q13</f>
        <v>0</v>
      </c>
      <c r="I13" s="16">
        <f>'Matemática I'!Q13</f>
        <v>0</v>
      </c>
      <c r="J13" s="16">
        <f>'Biología I'!Q13</f>
        <v>0</v>
      </c>
      <c r="K13" s="16">
        <f>'Dibujo Técnico I'!Q13</f>
        <v>0</v>
      </c>
      <c r="L13" s="16">
        <f>'Tecnología I'!Q13</f>
        <v>0</v>
      </c>
      <c r="M13" s="16">
        <f>'Taller Electricidad I'!Q13</f>
        <v>0</v>
      </c>
      <c r="N13" s="16">
        <f>'Taller Carpintería I'!Q13</f>
        <v>0</v>
      </c>
      <c r="O13" s="16">
        <f>'Taller Hojalatería'!Q13</f>
        <v>0</v>
      </c>
      <c r="P13" s="16">
        <f>'Taller Ajuste Mecánico'!Q13</f>
        <v>0</v>
      </c>
      <c r="Q13" s="16">
        <f>'Taller Informática I'!Q13</f>
        <v>0</v>
      </c>
      <c r="R13" s="16">
        <f>'Taller Construcciones I'!Q13</f>
        <v>0</v>
      </c>
    </row>
    <row r="14" spans="1:20" x14ac:dyDescent="0.25">
      <c r="A14" s="11">
        <f>Alumnos!A12</f>
        <v>10</v>
      </c>
      <c r="B14" s="11" t="str">
        <f>_xlfn.CONCAT(Alumnos!C12:D12)</f>
        <v>DA LUZ ALEX AGUSTIN</v>
      </c>
      <c r="C14" s="16">
        <f>Lengua!Q14</f>
        <v>0</v>
      </c>
      <c r="D14" s="16">
        <f>'Lengua Extranjera'!Q14</f>
        <v>0</v>
      </c>
      <c r="E14" s="16">
        <f>Geografía!Q14</f>
        <v>0</v>
      </c>
      <c r="F14" s="16">
        <f>Historia!Q14</f>
        <v>0</v>
      </c>
      <c r="G14" s="16">
        <f>'Formación Ética y Ciudadana'!Q14</f>
        <v>0</v>
      </c>
      <c r="H14" s="16">
        <f>'Educación Física'!Q14</f>
        <v>0</v>
      </c>
      <c r="I14" s="16">
        <f>'Matemática I'!Q14</f>
        <v>0</v>
      </c>
      <c r="J14" s="16">
        <f>'Biología I'!Q14</f>
        <v>0</v>
      </c>
      <c r="K14" s="16">
        <f>'Dibujo Técnico I'!Q14</f>
        <v>0</v>
      </c>
      <c r="L14" s="16">
        <f>'Tecnología I'!Q14</f>
        <v>0</v>
      </c>
      <c r="M14" s="16">
        <f>'Taller Electricidad I'!Q14</f>
        <v>0</v>
      </c>
      <c r="N14" s="16">
        <f>'Taller Carpintería I'!Q14</f>
        <v>0</v>
      </c>
      <c r="O14" s="16">
        <f>'Taller Hojalatería'!Q14</f>
        <v>0</v>
      </c>
      <c r="P14" s="16">
        <f>'Taller Ajuste Mecánico'!Q14</f>
        <v>0</v>
      </c>
      <c r="Q14" s="16">
        <f>'Taller Informática I'!Q14</f>
        <v>0</v>
      </c>
      <c r="R14" s="16">
        <f>'Taller Construcciones I'!Q14</f>
        <v>0</v>
      </c>
    </row>
    <row r="15" spans="1:20" x14ac:dyDescent="0.25">
      <c r="A15" s="11">
        <f>Alumnos!A13</f>
        <v>11</v>
      </c>
      <c r="B15" s="11" t="str">
        <f>_xlfn.CONCAT(Alumnos!C13:D13)</f>
        <v>DA SILVA RUTH ABIGAIL</v>
      </c>
      <c r="C15" s="16">
        <f>Lengua!Q15</f>
        <v>0</v>
      </c>
      <c r="D15" s="16">
        <f>'Lengua Extranjera'!Q15</f>
        <v>0</v>
      </c>
      <c r="E15" s="16">
        <f>Geografía!Q15</f>
        <v>0</v>
      </c>
      <c r="F15" s="16">
        <f>Historia!Q15</f>
        <v>0</v>
      </c>
      <c r="G15" s="16">
        <f>'Formación Ética y Ciudadana'!Q15</f>
        <v>0</v>
      </c>
      <c r="H15" s="16">
        <f>'Educación Física'!Q15</f>
        <v>0</v>
      </c>
      <c r="I15" s="16">
        <f>'Matemática I'!Q15</f>
        <v>0</v>
      </c>
      <c r="J15" s="16">
        <f>'Biología I'!Q15</f>
        <v>0</v>
      </c>
      <c r="K15" s="16">
        <f>'Dibujo Técnico I'!Q15</f>
        <v>0</v>
      </c>
      <c r="L15" s="16">
        <f>'Tecnología I'!Q15</f>
        <v>0</v>
      </c>
      <c r="M15" s="16">
        <f>'Taller Electricidad I'!Q15</f>
        <v>0</v>
      </c>
      <c r="N15" s="16">
        <f>'Taller Carpintería I'!Q15</f>
        <v>0</v>
      </c>
      <c r="O15" s="16">
        <f>'Taller Hojalatería'!Q15</f>
        <v>0</v>
      </c>
      <c r="P15" s="16">
        <f>'Taller Ajuste Mecánico'!Q15</f>
        <v>0</v>
      </c>
      <c r="Q15" s="16">
        <f>'Taller Informática I'!Q15</f>
        <v>0</v>
      </c>
      <c r="R15" s="16">
        <f>'Taller Construcciones I'!Q15</f>
        <v>0</v>
      </c>
    </row>
    <row r="16" spans="1:20" x14ac:dyDescent="0.25">
      <c r="A16" s="11">
        <f>Alumnos!A14</f>
        <v>12</v>
      </c>
      <c r="B16" s="11" t="str">
        <f>_xlfn.CONCAT(Alumnos!C14:D14)</f>
        <v>DORNEL MAGALI LEONELA</v>
      </c>
      <c r="C16" s="16">
        <f>Lengua!Q16</f>
        <v>0</v>
      </c>
      <c r="D16" s="16">
        <f>'Lengua Extranjera'!Q16</f>
        <v>0</v>
      </c>
      <c r="E16" s="16">
        <f>Geografía!Q16</f>
        <v>0</v>
      </c>
      <c r="F16" s="16">
        <f>Historia!Q16</f>
        <v>0</v>
      </c>
      <c r="G16" s="16">
        <f>'Formación Ética y Ciudadana'!Q16</f>
        <v>0</v>
      </c>
      <c r="H16" s="16">
        <f>'Educación Física'!Q16</f>
        <v>0</v>
      </c>
      <c r="I16" s="16">
        <f>'Matemática I'!Q16</f>
        <v>0</v>
      </c>
      <c r="J16" s="16">
        <f>'Biología I'!Q16</f>
        <v>0</v>
      </c>
      <c r="K16" s="16">
        <f>'Dibujo Técnico I'!Q16</f>
        <v>0</v>
      </c>
      <c r="L16" s="16">
        <f>'Tecnología I'!Q16</f>
        <v>0</v>
      </c>
      <c r="M16" s="16">
        <f>'Taller Electricidad I'!Q16</f>
        <v>0</v>
      </c>
      <c r="N16" s="16">
        <f>'Taller Carpintería I'!Q16</f>
        <v>0</v>
      </c>
      <c r="O16" s="16">
        <f>'Taller Hojalatería'!Q16</f>
        <v>0</v>
      </c>
      <c r="P16" s="16">
        <f>'Taller Ajuste Mecánico'!Q16</f>
        <v>0</v>
      </c>
      <c r="Q16" s="16">
        <f>'Taller Informática I'!Q16</f>
        <v>0</v>
      </c>
      <c r="R16" s="16">
        <f>'Taller Construcciones I'!Q16</f>
        <v>0</v>
      </c>
    </row>
    <row r="17" spans="1:18" x14ac:dyDescent="0.25">
      <c r="A17" s="11">
        <f>Alumnos!A15</f>
        <v>13</v>
      </c>
      <c r="B17" s="11" t="str">
        <f>_xlfn.CONCAT(Alumnos!C15:D15)</f>
        <v>DOS SANTOS ANGEL GABRIEL</v>
      </c>
      <c r="C17" s="16">
        <f>Lengua!Q17</f>
        <v>0</v>
      </c>
      <c r="D17" s="16">
        <f>'Lengua Extranjera'!Q17</f>
        <v>0</v>
      </c>
      <c r="E17" s="16">
        <f>Geografía!Q17</f>
        <v>0</v>
      </c>
      <c r="F17" s="16">
        <f>Historia!Q17</f>
        <v>0</v>
      </c>
      <c r="G17" s="16">
        <f>'Formación Ética y Ciudadana'!Q17</f>
        <v>0</v>
      </c>
      <c r="H17" s="16">
        <f>'Educación Física'!Q17</f>
        <v>0</v>
      </c>
      <c r="I17" s="16">
        <f>'Matemática I'!Q17</f>
        <v>0</v>
      </c>
      <c r="J17" s="16">
        <f>'Biología I'!Q17</f>
        <v>0</v>
      </c>
      <c r="K17" s="16">
        <f>'Dibujo Técnico I'!Q17</f>
        <v>0</v>
      </c>
      <c r="L17" s="16">
        <f>'Tecnología I'!Q17</f>
        <v>0</v>
      </c>
      <c r="M17" s="16">
        <f>'Taller Electricidad I'!Q17</f>
        <v>0</v>
      </c>
      <c r="N17" s="16">
        <f>'Taller Carpintería I'!Q17</f>
        <v>0</v>
      </c>
      <c r="O17" s="16">
        <f>'Taller Hojalatería'!Q17</f>
        <v>0</v>
      </c>
      <c r="P17" s="16">
        <f>'Taller Ajuste Mecánico'!Q17</f>
        <v>0</v>
      </c>
      <c r="Q17" s="16">
        <f>'Taller Informática I'!Q17</f>
        <v>0</v>
      </c>
      <c r="R17" s="16">
        <f>'Taller Construcciones I'!Q17</f>
        <v>0</v>
      </c>
    </row>
    <row r="18" spans="1:18" x14ac:dyDescent="0.25">
      <c r="A18" s="11">
        <f>Alumnos!A16</f>
        <v>14</v>
      </c>
      <c r="B18" s="11" t="str">
        <f>_xlfn.CONCAT(Alumnos!C16:D16)</f>
        <v>IGLESIAS WANDA ADALAY</v>
      </c>
      <c r="C18" s="16">
        <f>Lengua!Q18</f>
        <v>0</v>
      </c>
      <c r="D18" s="16">
        <f>'Lengua Extranjera'!Q18</f>
        <v>0</v>
      </c>
      <c r="E18" s="16">
        <f>Geografía!Q18</f>
        <v>0</v>
      </c>
      <c r="F18" s="16">
        <f>Historia!Q18</f>
        <v>0</v>
      </c>
      <c r="G18" s="16">
        <f>'Formación Ética y Ciudadana'!Q18</f>
        <v>0</v>
      </c>
      <c r="H18" s="16">
        <f>'Educación Física'!Q18</f>
        <v>0</v>
      </c>
      <c r="I18" s="16">
        <f>'Matemática I'!Q18</f>
        <v>0</v>
      </c>
      <c r="J18" s="16">
        <f>'Biología I'!Q18</f>
        <v>0</v>
      </c>
      <c r="K18" s="16">
        <f>'Dibujo Técnico I'!Q18</f>
        <v>0</v>
      </c>
      <c r="L18" s="16">
        <f>'Tecnología I'!Q18</f>
        <v>0</v>
      </c>
      <c r="M18" s="16">
        <f>'Taller Electricidad I'!Q18</f>
        <v>0</v>
      </c>
      <c r="N18" s="16">
        <f>'Taller Carpintería I'!Q18</f>
        <v>0</v>
      </c>
      <c r="O18" s="16">
        <f>'Taller Hojalatería'!Q18</f>
        <v>0</v>
      </c>
      <c r="P18" s="16">
        <f>'Taller Ajuste Mecánico'!Q18</f>
        <v>0</v>
      </c>
      <c r="Q18" s="16">
        <f>'Taller Informática I'!Q18</f>
        <v>0</v>
      </c>
      <c r="R18" s="16">
        <f>'Taller Construcciones I'!Q18</f>
        <v>0</v>
      </c>
    </row>
    <row r="19" spans="1:18" x14ac:dyDescent="0.25">
      <c r="A19" s="11">
        <f>Alumnos!A17</f>
        <v>15</v>
      </c>
      <c r="B19" s="11" t="str">
        <f>_xlfn.CONCAT(Alumnos!C17:D17)</f>
        <v>KARUCHEK PEREYRA BRANDON EZEQUIEL</v>
      </c>
      <c r="C19" s="16">
        <f>Lengua!Q19</f>
        <v>0</v>
      </c>
      <c r="D19" s="16">
        <f>'Lengua Extranjera'!Q19</f>
        <v>0</v>
      </c>
      <c r="E19" s="16">
        <f>Geografía!Q19</f>
        <v>0</v>
      </c>
      <c r="F19" s="16">
        <f>Historia!Q19</f>
        <v>0</v>
      </c>
      <c r="G19" s="16">
        <f>'Formación Ética y Ciudadana'!Q19</f>
        <v>0</v>
      </c>
      <c r="H19" s="16">
        <f>'Educación Física'!Q19</f>
        <v>0</v>
      </c>
      <c r="I19" s="16">
        <f>'Matemática I'!Q19</f>
        <v>0</v>
      </c>
      <c r="J19" s="16">
        <f>'Biología I'!Q19</f>
        <v>0</v>
      </c>
      <c r="K19" s="16">
        <f>'Dibujo Técnico I'!Q19</f>
        <v>0</v>
      </c>
      <c r="L19" s="16">
        <f>'Tecnología I'!Q19</f>
        <v>0</v>
      </c>
      <c r="M19" s="16">
        <f>'Taller Electricidad I'!Q19</f>
        <v>0</v>
      </c>
      <c r="N19" s="16">
        <f>'Taller Carpintería I'!Q19</f>
        <v>0</v>
      </c>
      <c r="O19" s="16">
        <f>'Taller Hojalatería'!Q19</f>
        <v>0</v>
      </c>
      <c r="P19" s="16">
        <f>'Taller Ajuste Mecánico'!Q19</f>
        <v>0</v>
      </c>
      <c r="Q19" s="16">
        <f>'Taller Informática I'!Q19</f>
        <v>0</v>
      </c>
      <c r="R19" s="16">
        <f>'Taller Construcciones I'!Q19</f>
        <v>0</v>
      </c>
    </row>
    <row r="20" spans="1:18" x14ac:dyDescent="0.25">
      <c r="A20" s="11">
        <f>Alumnos!A18</f>
        <v>16</v>
      </c>
      <c r="B20" s="11" t="str">
        <f>_xlfn.CONCAT(Alumnos!C18:D18)</f>
        <v>LOPEZ ELVIN LEONEL</v>
      </c>
      <c r="C20" s="16">
        <f>Lengua!Q20</f>
        <v>0</v>
      </c>
      <c r="D20" s="16">
        <f>'Lengua Extranjera'!Q20</f>
        <v>0</v>
      </c>
      <c r="E20" s="16">
        <f>Geografía!Q20</f>
        <v>0</v>
      </c>
      <c r="F20" s="16">
        <f>Historia!Q20</f>
        <v>0</v>
      </c>
      <c r="G20" s="16">
        <f>'Formación Ética y Ciudadana'!Q20</f>
        <v>0</v>
      </c>
      <c r="H20" s="16">
        <f>'Educación Física'!Q20</f>
        <v>0</v>
      </c>
      <c r="I20" s="16">
        <f>'Matemática I'!Q20</f>
        <v>0</v>
      </c>
      <c r="J20" s="16">
        <f>'Biología I'!Q20</f>
        <v>0</v>
      </c>
      <c r="K20" s="16">
        <f>'Dibujo Técnico I'!Q20</f>
        <v>0</v>
      </c>
      <c r="L20" s="16">
        <f>'Tecnología I'!Q20</f>
        <v>0</v>
      </c>
      <c r="M20" s="16">
        <f>'Taller Electricidad I'!Q20</f>
        <v>0</v>
      </c>
      <c r="N20" s="16">
        <f>'Taller Carpintería I'!Q20</f>
        <v>0</v>
      </c>
      <c r="O20" s="16">
        <f>'Taller Hojalatería'!Q20</f>
        <v>0</v>
      </c>
      <c r="P20" s="16">
        <f>'Taller Ajuste Mecánico'!Q20</f>
        <v>0</v>
      </c>
      <c r="Q20" s="16">
        <f>'Taller Informática I'!Q20</f>
        <v>0</v>
      </c>
      <c r="R20" s="16">
        <f>'Taller Construcciones I'!Q20</f>
        <v>0</v>
      </c>
    </row>
    <row r="21" spans="1:18" x14ac:dyDescent="0.25">
      <c r="A21" s="11">
        <f>Alumnos!A19</f>
        <v>17</v>
      </c>
      <c r="B21" s="11" t="str">
        <f>_xlfn.CONCAT(Alumnos!C19:D19)</f>
        <v>MACIEL GOMEZ LIONEL NICOLAS</v>
      </c>
      <c r="C21" s="16">
        <f>Lengua!Q21</f>
        <v>0</v>
      </c>
      <c r="D21" s="16">
        <f>'Lengua Extranjera'!Q21</f>
        <v>0</v>
      </c>
      <c r="E21" s="16">
        <f>Geografía!Q21</f>
        <v>0</v>
      </c>
      <c r="F21" s="16">
        <f>Historia!Q21</f>
        <v>0</v>
      </c>
      <c r="G21" s="16">
        <f>'Formación Ética y Ciudadana'!Q21</f>
        <v>0</v>
      </c>
      <c r="H21" s="16">
        <f>'Educación Física'!Q21</f>
        <v>0</v>
      </c>
      <c r="I21" s="16">
        <f>'Matemática I'!Q21</f>
        <v>0</v>
      </c>
      <c r="J21" s="16">
        <f>'Biología I'!Q21</f>
        <v>0</v>
      </c>
      <c r="K21" s="16">
        <f>'Dibujo Técnico I'!Q21</f>
        <v>0</v>
      </c>
      <c r="L21" s="16">
        <f>'Tecnología I'!Q21</f>
        <v>0</v>
      </c>
      <c r="M21" s="16">
        <f>'Taller Electricidad I'!Q21</f>
        <v>0</v>
      </c>
      <c r="N21" s="16">
        <f>'Taller Carpintería I'!Q21</f>
        <v>0</v>
      </c>
      <c r="O21" s="16">
        <f>'Taller Hojalatería'!Q21</f>
        <v>0</v>
      </c>
      <c r="P21" s="16">
        <f>'Taller Ajuste Mecánico'!Q21</f>
        <v>0</v>
      </c>
      <c r="Q21" s="16">
        <f>'Taller Informática I'!Q21</f>
        <v>0</v>
      </c>
      <c r="R21" s="16">
        <f>'Taller Construcciones I'!Q21</f>
        <v>0</v>
      </c>
    </row>
    <row r="22" spans="1:18" x14ac:dyDescent="0.25">
      <c r="A22" s="11">
        <f>Alumnos!A20</f>
        <v>18</v>
      </c>
      <c r="B22" s="11" t="str">
        <f>_xlfn.CONCAT(Alumnos!C20:D20)</f>
        <v>PADILLA JUNIOR EZEQUIEL</v>
      </c>
      <c r="C22" s="16">
        <f>Lengua!Q22</f>
        <v>0</v>
      </c>
      <c r="D22" s="16">
        <f>'Lengua Extranjera'!Q22</f>
        <v>0</v>
      </c>
      <c r="E22" s="16">
        <f>Geografía!Q22</f>
        <v>0</v>
      </c>
      <c r="F22" s="16">
        <f>Historia!Q22</f>
        <v>0</v>
      </c>
      <c r="G22" s="16">
        <f>'Formación Ética y Ciudadana'!Q22</f>
        <v>0</v>
      </c>
      <c r="H22" s="16">
        <f>'Educación Física'!Q22</f>
        <v>0</v>
      </c>
      <c r="I22" s="16">
        <f>'Matemática I'!Q22</f>
        <v>0</v>
      </c>
      <c r="J22" s="16">
        <f>'Biología I'!Q22</f>
        <v>0</v>
      </c>
      <c r="K22" s="16">
        <f>'Dibujo Técnico I'!Q22</f>
        <v>0</v>
      </c>
      <c r="L22" s="16">
        <f>'Tecnología I'!Q22</f>
        <v>0</v>
      </c>
      <c r="M22" s="16">
        <f>'Taller Electricidad I'!Q22</f>
        <v>0</v>
      </c>
      <c r="N22" s="16">
        <f>'Taller Carpintería I'!Q22</f>
        <v>0</v>
      </c>
      <c r="O22" s="16">
        <f>'Taller Hojalatería'!Q22</f>
        <v>0</v>
      </c>
      <c r="P22" s="16">
        <f>'Taller Ajuste Mecánico'!Q22</f>
        <v>0</v>
      </c>
      <c r="Q22" s="16">
        <f>'Taller Informática I'!Q22</f>
        <v>0</v>
      </c>
      <c r="R22" s="16">
        <f>'Taller Construcciones I'!Q22</f>
        <v>0</v>
      </c>
    </row>
    <row r="23" spans="1:18" x14ac:dyDescent="0.25">
      <c r="A23" s="11">
        <f>Alumnos!A21</f>
        <v>19</v>
      </c>
      <c r="B23" s="11" t="str">
        <f>_xlfn.CONCAT(Alumnos!C21:D21)</f>
        <v>PATZER AXEL EMANUEL</v>
      </c>
      <c r="C23" s="16">
        <f>Lengua!Q23</f>
        <v>0</v>
      </c>
      <c r="D23" s="16">
        <f>'Lengua Extranjera'!Q23</f>
        <v>0</v>
      </c>
      <c r="E23" s="16">
        <f>Geografía!Q23</f>
        <v>0</v>
      </c>
      <c r="F23" s="16">
        <f>Historia!Q23</f>
        <v>0</v>
      </c>
      <c r="G23" s="16">
        <f>'Formación Ética y Ciudadana'!Q23</f>
        <v>0</v>
      </c>
      <c r="H23" s="16">
        <f>'Educación Física'!Q23</f>
        <v>0</v>
      </c>
      <c r="I23" s="16">
        <f>'Matemática I'!Q23</f>
        <v>0</v>
      </c>
      <c r="J23" s="16">
        <f>'Biología I'!Q23</f>
        <v>0</v>
      </c>
      <c r="K23" s="16">
        <f>'Dibujo Técnico I'!Q23</f>
        <v>0</v>
      </c>
      <c r="L23" s="16">
        <f>'Tecnología I'!Q23</f>
        <v>0</v>
      </c>
      <c r="M23" s="16">
        <f>'Taller Electricidad I'!Q23</f>
        <v>0</v>
      </c>
      <c r="N23" s="16">
        <f>'Taller Carpintería I'!Q23</f>
        <v>0</v>
      </c>
      <c r="O23" s="16">
        <f>'Taller Hojalatería'!Q23</f>
        <v>0</v>
      </c>
      <c r="P23" s="16">
        <f>'Taller Ajuste Mecánico'!Q23</f>
        <v>0</v>
      </c>
      <c r="Q23" s="16">
        <f>'Taller Informática I'!Q23</f>
        <v>0</v>
      </c>
      <c r="R23" s="16">
        <f>'Taller Construcciones I'!Q23</f>
        <v>0</v>
      </c>
    </row>
    <row r="24" spans="1:18" x14ac:dyDescent="0.25">
      <c r="A24" s="11">
        <f>Alumnos!A22</f>
        <v>20</v>
      </c>
      <c r="B24" s="11" t="str">
        <f>_xlfn.CONCAT(Alumnos!C22:D22)</f>
        <v>RODRIGUEZ BRUNO SEBASTIAN</v>
      </c>
      <c r="C24" s="16">
        <f>Lengua!Q24</f>
        <v>0</v>
      </c>
      <c r="D24" s="16">
        <f>'Lengua Extranjera'!Q24</f>
        <v>0</v>
      </c>
      <c r="E24" s="16">
        <f>Geografía!Q24</f>
        <v>0</v>
      </c>
      <c r="F24" s="16">
        <f>Historia!Q24</f>
        <v>0</v>
      </c>
      <c r="G24" s="16">
        <f>'Formación Ética y Ciudadana'!Q24</f>
        <v>0</v>
      </c>
      <c r="H24" s="16">
        <f>'Educación Física'!Q24</f>
        <v>0</v>
      </c>
      <c r="I24" s="16">
        <f>'Matemática I'!Q24</f>
        <v>0</v>
      </c>
      <c r="J24" s="16">
        <f>'Biología I'!Q24</f>
        <v>0</v>
      </c>
      <c r="K24" s="16">
        <f>'Dibujo Técnico I'!Q24</f>
        <v>0</v>
      </c>
      <c r="L24" s="16">
        <f>'Tecnología I'!Q24</f>
        <v>0</v>
      </c>
      <c r="M24" s="16">
        <f>'Taller Electricidad I'!Q24</f>
        <v>0</v>
      </c>
      <c r="N24" s="16">
        <f>'Taller Carpintería I'!Q24</f>
        <v>0</v>
      </c>
      <c r="O24" s="16">
        <f>'Taller Hojalatería'!Q24</f>
        <v>0</v>
      </c>
      <c r="P24" s="16">
        <f>'Taller Ajuste Mecánico'!Q24</f>
        <v>0</v>
      </c>
      <c r="Q24" s="16">
        <f>'Taller Informática I'!Q24</f>
        <v>0</v>
      </c>
      <c r="R24" s="16">
        <f>'Taller Construcciones I'!Q24</f>
        <v>0</v>
      </c>
    </row>
    <row r="25" spans="1:18" x14ac:dyDescent="0.25">
      <c r="A25" s="11">
        <f>Alumnos!A23</f>
        <v>21</v>
      </c>
      <c r="B25" s="11" t="str">
        <f>_xlfn.CONCAT(Alumnos!C23:D23)</f>
        <v>SCHUVARTZ MIGUEL MARCELO ARIEL</v>
      </c>
      <c r="C25" s="16">
        <f>Lengua!Q25</f>
        <v>0</v>
      </c>
      <c r="D25" s="16">
        <f>'Lengua Extranjera'!Q25</f>
        <v>0</v>
      </c>
      <c r="E25" s="16">
        <f>Geografía!Q25</f>
        <v>0</v>
      </c>
      <c r="F25" s="16">
        <f>Historia!Q25</f>
        <v>0</v>
      </c>
      <c r="G25" s="16">
        <f>'Formación Ética y Ciudadana'!Q25</f>
        <v>0</v>
      </c>
      <c r="H25" s="16">
        <f>'Educación Física'!Q25</f>
        <v>0</v>
      </c>
      <c r="I25" s="16">
        <f>'Matemática I'!Q25</f>
        <v>0</v>
      </c>
      <c r="J25" s="16">
        <f>'Biología I'!Q25</f>
        <v>0</v>
      </c>
      <c r="K25" s="16">
        <f>'Dibujo Técnico I'!Q25</f>
        <v>0</v>
      </c>
      <c r="L25" s="16">
        <f>'Tecnología I'!Q25</f>
        <v>0</v>
      </c>
      <c r="M25" s="16">
        <f>'Taller Electricidad I'!Q25</f>
        <v>0</v>
      </c>
      <c r="N25" s="16">
        <f>'Taller Carpintería I'!Q25</f>
        <v>0</v>
      </c>
      <c r="O25" s="16">
        <f>'Taller Hojalatería'!Q25</f>
        <v>0</v>
      </c>
      <c r="P25" s="16">
        <f>'Taller Ajuste Mecánico'!Q25</f>
        <v>0</v>
      </c>
      <c r="Q25" s="16">
        <f>'Taller Informática I'!Q25</f>
        <v>0</v>
      </c>
      <c r="R25" s="16">
        <f>'Taller Construcciones I'!Q25</f>
        <v>0</v>
      </c>
    </row>
    <row r="26" spans="1:18" x14ac:dyDescent="0.25">
      <c r="A26" s="11">
        <f>Alumnos!A24</f>
        <v>22</v>
      </c>
      <c r="B26" s="11" t="str">
        <f>_xlfn.CONCAT(Alumnos!C24:D24)</f>
        <v>SILVERA ILLESCAS RAMIRO GONZALO</v>
      </c>
      <c r="C26" s="16">
        <f>Lengua!Q26</f>
        <v>0</v>
      </c>
      <c r="D26" s="16">
        <f>'Lengua Extranjera'!Q26</f>
        <v>0</v>
      </c>
      <c r="E26" s="16">
        <f>Geografía!Q26</f>
        <v>0</v>
      </c>
      <c r="F26" s="16">
        <f>Historia!Q26</f>
        <v>0</v>
      </c>
      <c r="G26" s="16">
        <f>'Formación Ética y Ciudadana'!Q26</f>
        <v>0</v>
      </c>
      <c r="H26" s="16">
        <f>'Educación Física'!Q26</f>
        <v>0</v>
      </c>
      <c r="I26" s="16">
        <f>'Matemática I'!Q26</f>
        <v>0</v>
      </c>
      <c r="J26" s="16">
        <f>'Biología I'!Q26</f>
        <v>0</v>
      </c>
      <c r="K26" s="16">
        <f>'Dibujo Técnico I'!Q26</f>
        <v>0</v>
      </c>
      <c r="L26" s="16">
        <f>'Tecnología I'!Q26</f>
        <v>0</v>
      </c>
      <c r="M26" s="16">
        <f>'Taller Electricidad I'!Q26</f>
        <v>0</v>
      </c>
      <c r="N26" s="16">
        <f>'Taller Carpintería I'!Q26</f>
        <v>0</v>
      </c>
      <c r="O26" s="16">
        <f>'Taller Hojalatería'!Q26</f>
        <v>0</v>
      </c>
      <c r="P26" s="16">
        <f>'Taller Ajuste Mecánico'!Q26</f>
        <v>0</v>
      </c>
      <c r="Q26" s="16">
        <f>'Taller Informática I'!Q26</f>
        <v>0</v>
      </c>
      <c r="R26" s="16">
        <f>'Taller Construcciones I'!Q26</f>
        <v>0</v>
      </c>
    </row>
    <row r="27" spans="1:18" x14ac:dyDescent="0.25">
      <c r="A27" s="11">
        <f>Alumnos!A25</f>
        <v>23</v>
      </c>
      <c r="B27" s="11" t="str">
        <f>_xlfn.CONCAT(Alumnos!C25:D25)</f>
        <v>SILVERO GUADALUPE ITATI</v>
      </c>
      <c r="C27" s="16">
        <f>Lengua!Q27</f>
        <v>0</v>
      </c>
      <c r="D27" s="16">
        <f>'Lengua Extranjera'!Q27</f>
        <v>0</v>
      </c>
      <c r="E27" s="16">
        <f>Geografía!Q27</f>
        <v>0</v>
      </c>
      <c r="F27" s="16">
        <f>Historia!Q27</f>
        <v>0</v>
      </c>
      <c r="G27" s="16">
        <f>'Formación Ética y Ciudadana'!Q27</f>
        <v>0</v>
      </c>
      <c r="H27" s="16">
        <f>'Educación Física'!Q27</f>
        <v>0</v>
      </c>
      <c r="I27" s="16">
        <f>'Matemática I'!Q27</f>
        <v>0</v>
      </c>
      <c r="J27" s="16">
        <f>'Biología I'!Q27</f>
        <v>0</v>
      </c>
      <c r="K27" s="16">
        <f>'Dibujo Técnico I'!Q27</f>
        <v>0</v>
      </c>
      <c r="L27" s="16">
        <f>'Tecnología I'!Q27</f>
        <v>0</v>
      </c>
      <c r="M27" s="16">
        <f>'Taller Electricidad I'!Q27</f>
        <v>0</v>
      </c>
      <c r="N27" s="16">
        <f>'Taller Carpintería I'!Q27</f>
        <v>0</v>
      </c>
      <c r="O27" s="16">
        <f>'Taller Hojalatería'!Q27</f>
        <v>0</v>
      </c>
      <c r="P27" s="16">
        <f>'Taller Ajuste Mecánico'!Q27</f>
        <v>0</v>
      </c>
      <c r="Q27" s="16">
        <f>'Taller Informática I'!Q27</f>
        <v>0</v>
      </c>
      <c r="R27" s="16">
        <f>'Taller Construcciones I'!Q27</f>
        <v>0</v>
      </c>
    </row>
    <row r="28" spans="1:18" x14ac:dyDescent="0.25">
      <c r="A28" s="11">
        <f>Alumnos!A26</f>
        <v>24</v>
      </c>
      <c r="B28" s="11" t="str">
        <f>_xlfn.CONCAT(Alumnos!C26:D26)</f>
        <v>STRIEDER MIA ANTONELLA</v>
      </c>
      <c r="C28" s="16">
        <f>Lengua!Q28</f>
        <v>0</v>
      </c>
      <c r="D28" s="16">
        <f>'Lengua Extranjera'!Q28</f>
        <v>0</v>
      </c>
      <c r="E28" s="16">
        <f>Geografía!Q28</f>
        <v>0</v>
      </c>
      <c r="F28" s="16">
        <f>Historia!Q28</f>
        <v>0</v>
      </c>
      <c r="G28" s="16">
        <f>'Formación Ética y Ciudadana'!Q28</f>
        <v>0</v>
      </c>
      <c r="H28" s="16">
        <f>'Educación Física'!Q28</f>
        <v>0</v>
      </c>
      <c r="I28" s="16">
        <f>'Matemática I'!Q28</f>
        <v>0</v>
      </c>
      <c r="J28" s="16">
        <f>'Biología I'!Q28</f>
        <v>0</v>
      </c>
      <c r="K28" s="16">
        <f>'Dibujo Técnico I'!Q28</f>
        <v>0</v>
      </c>
      <c r="L28" s="16">
        <f>'Tecnología I'!Q28</f>
        <v>0</v>
      </c>
      <c r="M28" s="16">
        <f>'Taller Electricidad I'!Q28</f>
        <v>0</v>
      </c>
      <c r="N28" s="16">
        <f>'Taller Carpintería I'!Q28</f>
        <v>0</v>
      </c>
      <c r="O28" s="16">
        <f>'Taller Hojalatería'!Q28</f>
        <v>0</v>
      </c>
      <c r="P28" s="16">
        <f>'Taller Ajuste Mecánico'!Q28</f>
        <v>0</v>
      </c>
      <c r="Q28" s="16">
        <f>'Taller Informática I'!Q28</f>
        <v>0</v>
      </c>
      <c r="R28" s="16">
        <f>'Taller Construcciones I'!Q28</f>
        <v>0</v>
      </c>
    </row>
    <row r="29" spans="1:18" x14ac:dyDescent="0.25">
      <c r="A29" s="11">
        <f>Alumnos!A27</f>
        <v>25</v>
      </c>
      <c r="B29" s="11" t="str">
        <f>_xlfn.CONCAT(Alumnos!C27:D27)</f>
        <v>TOLEDO PEREZ MATIAS GABRIEL</v>
      </c>
      <c r="C29" s="16">
        <f>Lengua!Q29</f>
        <v>0</v>
      </c>
      <c r="D29" s="16">
        <f>'Lengua Extranjera'!Q29</f>
        <v>0</v>
      </c>
      <c r="E29" s="16">
        <f>Geografía!Q29</f>
        <v>0</v>
      </c>
      <c r="F29" s="16">
        <f>Historia!Q29</f>
        <v>0</v>
      </c>
      <c r="G29" s="16">
        <f>'Formación Ética y Ciudadana'!Q29</f>
        <v>0</v>
      </c>
      <c r="H29" s="16">
        <f>'Educación Física'!Q29</f>
        <v>0</v>
      </c>
      <c r="I29" s="16">
        <f>'Matemática I'!Q29</f>
        <v>0</v>
      </c>
      <c r="J29" s="16">
        <f>'Biología I'!Q29</f>
        <v>0</v>
      </c>
      <c r="K29" s="16">
        <f>'Dibujo Técnico I'!Q29</f>
        <v>0</v>
      </c>
      <c r="L29" s="16">
        <f>'Tecnología I'!Q29</f>
        <v>0</v>
      </c>
      <c r="M29" s="16">
        <f>'Taller Electricidad I'!Q29</f>
        <v>0</v>
      </c>
      <c r="N29" s="16">
        <f>'Taller Carpintería I'!Q29</f>
        <v>0</v>
      </c>
      <c r="O29" s="16">
        <f>'Taller Hojalatería'!Q29</f>
        <v>0</v>
      </c>
      <c r="P29" s="16">
        <f>'Taller Ajuste Mecánico'!Q29</f>
        <v>0</v>
      </c>
      <c r="Q29" s="16">
        <f>'Taller Informática I'!Q29</f>
        <v>0</v>
      </c>
      <c r="R29" s="16">
        <f>'Taller Construcciones I'!Q29</f>
        <v>0</v>
      </c>
    </row>
    <row r="30" spans="1:18" x14ac:dyDescent="0.25">
      <c r="A30" s="11">
        <f>Alumnos!A28</f>
        <v>26</v>
      </c>
      <c r="B30" s="11" t="str">
        <f>_xlfn.CONCAT(Alumnos!C28:D28)</f>
        <v>VASCO TEXEIRA EMILIANA</v>
      </c>
      <c r="C30" s="16">
        <f>Lengua!Q30</f>
        <v>0</v>
      </c>
      <c r="D30" s="16">
        <f>'Lengua Extranjera'!Q30</f>
        <v>0</v>
      </c>
      <c r="E30" s="16">
        <f>Geografía!Q30</f>
        <v>0</v>
      </c>
      <c r="F30" s="16">
        <f>Historia!Q30</f>
        <v>0</v>
      </c>
      <c r="G30" s="16">
        <f>'Formación Ética y Ciudadana'!Q30</f>
        <v>0</v>
      </c>
      <c r="H30" s="16">
        <f>'Educación Física'!Q30</f>
        <v>0</v>
      </c>
      <c r="I30" s="16">
        <f>'Matemática I'!Q30</f>
        <v>0</v>
      </c>
      <c r="J30" s="16">
        <f>'Biología I'!Q30</f>
        <v>0</v>
      </c>
      <c r="K30" s="16">
        <f>'Dibujo Técnico I'!Q30</f>
        <v>0</v>
      </c>
      <c r="L30" s="16">
        <f>'Tecnología I'!Q30</f>
        <v>0</v>
      </c>
      <c r="M30" s="16">
        <f>'Taller Electricidad I'!Q30</f>
        <v>0</v>
      </c>
      <c r="N30" s="16">
        <f>'Taller Carpintería I'!Q30</f>
        <v>0</v>
      </c>
      <c r="O30" s="16">
        <f>'Taller Hojalatería'!Q30</f>
        <v>0</v>
      </c>
      <c r="P30" s="16">
        <f>'Taller Ajuste Mecánico'!Q30</f>
        <v>0</v>
      </c>
      <c r="Q30" s="16">
        <f>'Taller Informática I'!Q30</f>
        <v>0</v>
      </c>
      <c r="R30" s="16">
        <f>'Taller Construcciones I'!Q30</f>
        <v>0</v>
      </c>
    </row>
    <row r="31" spans="1:18" x14ac:dyDescent="0.25">
      <c r="A31" s="11">
        <f>Alumnos!A29</f>
        <v>27</v>
      </c>
      <c r="B31" s="11" t="str">
        <f>_xlfn.CONCAT(Alumnos!C29:D29)</f>
        <v>VIDOTTOEMILY MILAGROS</v>
      </c>
      <c r="C31" s="16">
        <f>Lengua!Q31</f>
        <v>0</v>
      </c>
      <c r="D31" s="16">
        <f>'Lengua Extranjera'!Q31</f>
        <v>0</v>
      </c>
      <c r="E31" s="16">
        <f>Geografía!Q31</f>
        <v>0</v>
      </c>
      <c r="F31" s="16">
        <f>Historia!Q31</f>
        <v>0</v>
      </c>
      <c r="G31" s="16">
        <f>'Formación Ética y Ciudadana'!Q31</f>
        <v>0</v>
      </c>
      <c r="H31" s="16">
        <f>'Educación Física'!Q31</f>
        <v>0</v>
      </c>
      <c r="I31" s="16">
        <f>'Matemática I'!Q31</f>
        <v>0</v>
      </c>
      <c r="J31" s="16">
        <f>'Biología I'!Q31</f>
        <v>0</v>
      </c>
      <c r="K31" s="16">
        <f>'Dibujo Técnico I'!Q31</f>
        <v>0</v>
      </c>
      <c r="L31" s="16">
        <f>'Tecnología I'!Q31</f>
        <v>0</v>
      </c>
      <c r="M31" s="16">
        <f>'Taller Electricidad I'!Q31</f>
        <v>0</v>
      </c>
      <c r="N31" s="16">
        <f>'Taller Carpintería I'!Q31</f>
        <v>0</v>
      </c>
      <c r="O31" s="16">
        <f>'Taller Hojalatería'!Q31</f>
        <v>0</v>
      </c>
      <c r="P31" s="16">
        <f>'Taller Ajuste Mecánico'!Q31</f>
        <v>0</v>
      </c>
      <c r="Q31" s="16">
        <f>'Taller Informática I'!Q31</f>
        <v>0</v>
      </c>
      <c r="R31" s="16">
        <f>'Taller Construcciones I'!Q31</f>
        <v>0</v>
      </c>
    </row>
    <row r="32" spans="1:18" x14ac:dyDescent="0.25">
      <c r="A32" s="11">
        <f>Alumnos!A30</f>
        <v>28</v>
      </c>
      <c r="B32" s="11" t="str">
        <f>_xlfn.CONCAT(Alumnos!C30:D30)</f>
        <v>VILLALBA LAUTARO DANIEL</v>
      </c>
      <c r="C32" s="16">
        <f>Lengua!Q32</f>
        <v>0</v>
      </c>
      <c r="D32" s="16">
        <f>'Lengua Extranjera'!Q32</f>
        <v>0</v>
      </c>
      <c r="E32" s="16">
        <f>Geografía!Q32</f>
        <v>0</v>
      </c>
      <c r="F32" s="16">
        <f>Historia!Q32</f>
        <v>0</v>
      </c>
      <c r="G32" s="16">
        <f>'Formación Ética y Ciudadana'!Q32</f>
        <v>0</v>
      </c>
      <c r="H32" s="16">
        <f>'Educación Física'!Q32</f>
        <v>0</v>
      </c>
      <c r="I32" s="16">
        <f>'Matemática I'!Q32</f>
        <v>0</v>
      </c>
      <c r="J32" s="16">
        <f>'Biología I'!Q32</f>
        <v>0</v>
      </c>
      <c r="K32" s="16">
        <f>'Dibujo Técnico I'!Q32</f>
        <v>0</v>
      </c>
      <c r="L32" s="16">
        <f>'Tecnología I'!Q32</f>
        <v>0</v>
      </c>
      <c r="M32" s="16">
        <f>'Taller Electricidad I'!Q32</f>
        <v>0</v>
      </c>
      <c r="N32" s="16">
        <f>'Taller Carpintería I'!Q32</f>
        <v>0</v>
      </c>
      <c r="O32" s="16">
        <f>'Taller Hojalatería'!Q32</f>
        <v>0</v>
      </c>
      <c r="P32" s="16">
        <f>'Taller Ajuste Mecánico'!Q32</f>
        <v>0</v>
      </c>
      <c r="Q32" s="16">
        <f>'Taller Informática I'!Q32</f>
        <v>0</v>
      </c>
      <c r="R32" s="16">
        <f>'Taller Construcciones I'!Q32</f>
        <v>0</v>
      </c>
    </row>
    <row r="33" spans="1:18" x14ac:dyDescent="0.25">
      <c r="A33" s="11">
        <f>Alumnos!A31</f>
        <v>29</v>
      </c>
      <c r="B33" s="11" t="str">
        <f>_xlfn.CONCAT(Alumnos!C31:D31)</f>
        <v>WANDSCHEER ARMANDO NICOLAS</v>
      </c>
      <c r="C33" s="16">
        <f>Lengua!Q33</f>
        <v>0</v>
      </c>
      <c r="D33" s="16">
        <f>'Lengua Extranjera'!Q33</f>
        <v>0</v>
      </c>
      <c r="E33" s="16">
        <f>Geografía!Q33</f>
        <v>0</v>
      </c>
      <c r="F33" s="16">
        <f>Historia!Q33</f>
        <v>0</v>
      </c>
      <c r="G33" s="16">
        <f>'Formación Ética y Ciudadana'!Q33</f>
        <v>0</v>
      </c>
      <c r="H33" s="16">
        <f>'Educación Física'!Q33</f>
        <v>0</v>
      </c>
      <c r="I33" s="16">
        <f>'Matemática I'!Q33</f>
        <v>0</v>
      </c>
      <c r="J33" s="16">
        <f>'Biología I'!Q33</f>
        <v>0</v>
      </c>
      <c r="K33" s="16">
        <f>'Dibujo Técnico I'!Q33</f>
        <v>0</v>
      </c>
      <c r="L33" s="16">
        <f>'Tecnología I'!Q33</f>
        <v>0</v>
      </c>
      <c r="M33" s="16">
        <f>'Taller Electricidad I'!Q33</f>
        <v>0</v>
      </c>
      <c r="N33" s="16">
        <f>'Taller Carpintería I'!Q33</f>
        <v>0</v>
      </c>
      <c r="O33" s="16">
        <f>'Taller Hojalatería'!Q33</f>
        <v>0</v>
      </c>
      <c r="P33" s="16">
        <f>'Taller Ajuste Mecánico'!Q33</f>
        <v>0</v>
      </c>
      <c r="Q33" s="16">
        <f>'Taller Informática I'!Q33</f>
        <v>0</v>
      </c>
      <c r="R33" s="16">
        <f>'Taller Construcciones I'!Q33</f>
        <v>0</v>
      </c>
    </row>
    <row r="34" spans="1:18" x14ac:dyDescent="0.25">
      <c r="A34" s="11">
        <f>Alumnos!A32</f>
        <v>30</v>
      </c>
      <c r="B34" s="11" t="str">
        <f>_xlfn.CONCAT(Alumnos!C32:D32)</f>
        <v/>
      </c>
      <c r="C34" s="16">
        <f>Lengua!Q34</f>
        <v>0</v>
      </c>
      <c r="D34" s="16">
        <f>'Lengua Extranjera'!Q34</f>
        <v>0</v>
      </c>
      <c r="E34" s="16">
        <f>Geografía!Q34</f>
        <v>0</v>
      </c>
      <c r="F34" s="16">
        <f>Historia!Q34</f>
        <v>0</v>
      </c>
      <c r="G34" s="16">
        <f>'Formación Ética y Ciudadana'!Q34</f>
        <v>0</v>
      </c>
      <c r="H34" s="16">
        <f>'Educación Física'!Q34</f>
        <v>0</v>
      </c>
      <c r="I34" s="16">
        <f>'Matemática I'!Q34</f>
        <v>0</v>
      </c>
      <c r="J34" s="16">
        <f>'Biología I'!Q34</f>
        <v>0</v>
      </c>
      <c r="K34" s="16">
        <f>'Dibujo Técnico I'!Q34</f>
        <v>0</v>
      </c>
      <c r="L34" s="16">
        <f>'Tecnología I'!Q34</f>
        <v>0</v>
      </c>
      <c r="M34" s="16">
        <f>'Taller Electricidad I'!Q34</f>
        <v>0</v>
      </c>
      <c r="N34" s="16">
        <f>'Taller Carpintería I'!Q34</f>
        <v>0</v>
      </c>
      <c r="O34" s="16">
        <f>'Taller Hojalatería'!Q34</f>
        <v>0</v>
      </c>
      <c r="P34" s="16">
        <f>'Taller Ajuste Mecánico'!Q34</f>
        <v>0</v>
      </c>
      <c r="Q34" s="16">
        <f>'Taller Informática I'!Q34</f>
        <v>0</v>
      </c>
      <c r="R34" s="16">
        <f>'Taller Construcciones I'!Q34</f>
        <v>0</v>
      </c>
    </row>
    <row r="35" spans="1:18" x14ac:dyDescent="0.25">
      <c r="A35" s="11">
        <f>Alumnos!A33</f>
        <v>31</v>
      </c>
      <c r="B35" s="11" t="str">
        <f>_xlfn.CONCAT(Alumnos!C33:D33)</f>
        <v/>
      </c>
      <c r="C35" s="16">
        <f>Lengua!Q35</f>
        <v>0</v>
      </c>
      <c r="D35" s="16">
        <f>'Lengua Extranjera'!Q35</f>
        <v>0</v>
      </c>
      <c r="E35" s="16">
        <f>Geografía!Q35</f>
        <v>0</v>
      </c>
      <c r="F35" s="16">
        <f>Historia!Q35</f>
        <v>0</v>
      </c>
      <c r="G35" s="16">
        <f>'Formación Ética y Ciudadana'!Q35</f>
        <v>0</v>
      </c>
      <c r="H35" s="16">
        <f>'Educación Física'!Q35</f>
        <v>0</v>
      </c>
      <c r="I35" s="16">
        <f>'Matemática I'!Q35</f>
        <v>0</v>
      </c>
      <c r="J35" s="16">
        <f>'Biología I'!Q35</f>
        <v>0</v>
      </c>
      <c r="K35" s="16">
        <f>'Dibujo Técnico I'!Q35</f>
        <v>0</v>
      </c>
      <c r="L35" s="16">
        <f>'Tecnología I'!Q35</f>
        <v>0</v>
      </c>
      <c r="M35" s="16">
        <f>'Taller Electricidad I'!Q35</f>
        <v>0</v>
      </c>
      <c r="N35" s="16">
        <f>'Taller Carpintería I'!Q35</f>
        <v>0</v>
      </c>
      <c r="O35" s="16">
        <f>'Taller Hojalatería'!Q35</f>
        <v>0</v>
      </c>
      <c r="P35" s="16">
        <f>'Taller Ajuste Mecánico'!Q35</f>
        <v>0</v>
      </c>
      <c r="Q35" s="16">
        <f>'Taller Informática I'!Q35</f>
        <v>0</v>
      </c>
      <c r="R35" s="16">
        <f>'Taller Construcciones I'!Q35</f>
        <v>0</v>
      </c>
    </row>
    <row r="36" spans="1:18" x14ac:dyDescent="0.25">
      <c r="A36" s="11">
        <f>Alumnos!A34</f>
        <v>32</v>
      </c>
      <c r="B36" s="11" t="str">
        <f>_xlfn.CONCAT(Alumnos!C34:D34)</f>
        <v/>
      </c>
      <c r="C36" s="16">
        <f>Lengua!Q36</f>
        <v>0</v>
      </c>
      <c r="D36" s="16">
        <f>'Lengua Extranjera'!Q36</f>
        <v>0</v>
      </c>
      <c r="E36" s="16">
        <f>Geografía!Q36</f>
        <v>0</v>
      </c>
      <c r="F36" s="16">
        <f>Historia!Q36</f>
        <v>0</v>
      </c>
      <c r="G36" s="16">
        <f>'Formación Ética y Ciudadana'!Q36</f>
        <v>0</v>
      </c>
      <c r="H36" s="16">
        <f>'Educación Física'!Q36</f>
        <v>0</v>
      </c>
      <c r="I36" s="16">
        <f>'Matemática I'!Q36</f>
        <v>0</v>
      </c>
      <c r="J36" s="16">
        <f>'Biología I'!Q36</f>
        <v>0</v>
      </c>
      <c r="K36" s="16">
        <f>'Dibujo Técnico I'!Q36</f>
        <v>0</v>
      </c>
      <c r="L36" s="16">
        <f>'Tecnología I'!Q36</f>
        <v>0</v>
      </c>
      <c r="M36" s="16">
        <f>'Taller Electricidad I'!Q36</f>
        <v>0</v>
      </c>
      <c r="N36" s="16">
        <f>'Taller Carpintería I'!Q36</f>
        <v>0</v>
      </c>
      <c r="O36" s="16">
        <f>'Taller Hojalatería'!Q36</f>
        <v>0</v>
      </c>
      <c r="P36" s="16">
        <f>'Taller Ajuste Mecánico'!Q36</f>
        <v>0</v>
      </c>
      <c r="Q36" s="16">
        <f>'Taller Informática I'!Q36</f>
        <v>0</v>
      </c>
      <c r="R36" s="16">
        <f>'Taller Construcciones I'!Q36</f>
        <v>0</v>
      </c>
    </row>
  </sheetData>
  <mergeCells count="2">
    <mergeCell ref="C1:R1"/>
    <mergeCell ref="C2:R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EA21C-E34B-4FCD-8DB1-13D89F19EF9B}">
  <sheetPr codeName="Hoja36">
    <tabColor rgb="FF00B0F0"/>
  </sheetPr>
  <dimension ref="A1:T36"/>
  <sheetViews>
    <sheetView showGridLines="0" zoomScaleNormal="100" workbookViewId="0">
      <selection activeCell="C4" sqref="C4:R4"/>
    </sheetView>
  </sheetViews>
  <sheetFormatPr baseColWidth="10" defaultColWidth="5.7109375" defaultRowHeight="15" x14ac:dyDescent="0.25"/>
  <cols>
    <col min="1" max="1" width="6.7109375" style="26" bestFit="1" customWidth="1"/>
    <col min="2" max="2" width="40.5703125" style="26" bestFit="1" customWidth="1"/>
    <col min="3" max="18" width="3.7109375" style="28" bestFit="1" customWidth="1"/>
    <col min="19" max="16384" width="5.7109375" style="26"/>
  </cols>
  <sheetData>
    <row r="1" spans="1:20" x14ac:dyDescent="0.25">
      <c r="A1" s="12" t="s">
        <v>47</v>
      </c>
      <c r="B1" s="11">
        <v>2024</v>
      </c>
      <c r="C1" s="29" t="str">
        <f>Plantilla!A1</f>
        <v>Escuela Provincial de Educación Técnica Nº 21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7"/>
      <c r="T1" s="27"/>
    </row>
    <row r="2" spans="1:20" x14ac:dyDescent="0.25">
      <c r="A2" s="12" t="s">
        <v>45</v>
      </c>
      <c r="B2" s="11" t="str">
        <f>Alumnos!B1</f>
        <v>1-A</v>
      </c>
      <c r="C2" s="30" t="s">
        <v>49</v>
      </c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2"/>
    </row>
    <row r="3" spans="1:20" ht="170.25" x14ac:dyDescent="0.25">
      <c r="A3" s="25" t="s">
        <v>44</v>
      </c>
      <c r="B3" s="25" t="s">
        <v>16</v>
      </c>
      <c r="C3" s="24" t="str">
        <f>Lengua!Q3</f>
        <v>Lengua</v>
      </c>
      <c r="D3" s="24" t="s">
        <v>1</v>
      </c>
      <c r="E3" s="24" t="s">
        <v>2</v>
      </c>
      <c r="F3" s="24" t="s">
        <v>3</v>
      </c>
      <c r="G3" s="24" t="s">
        <v>4</v>
      </c>
      <c r="H3" s="24" t="s">
        <v>5</v>
      </c>
      <c r="I3" s="24" t="s">
        <v>6</v>
      </c>
      <c r="J3" s="24" t="s">
        <v>7</v>
      </c>
      <c r="K3" s="24" t="s">
        <v>8</v>
      </c>
      <c r="L3" s="24" t="s">
        <v>9</v>
      </c>
      <c r="M3" s="24" t="s">
        <v>10</v>
      </c>
      <c r="N3" s="24" t="s">
        <v>11</v>
      </c>
      <c r="O3" s="24" t="s">
        <v>12</v>
      </c>
      <c r="P3" s="24" t="s">
        <v>13</v>
      </c>
      <c r="Q3" s="24" t="s">
        <v>14</v>
      </c>
      <c r="R3" s="24" t="s">
        <v>15</v>
      </c>
    </row>
    <row r="4" spans="1:20" x14ac:dyDescent="0.25">
      <c r="A4" s="12" t="s">
        <v>24</v>
      </c>
      <c r="B4" s="12" t="s">
        <v>46</v>
      </c>
      <c r="C4" s="23" t="s">
        <v>51</v>
      </c>
      <c r="D4" s="23" t="s">
        <v>51</v>
      </c>
      <c r="E4" s="23" t="s">
        <v>51</v>
      </c>
      <c r="F4" s="23" t="s">
        <v>51</v>
      </c>
      <c r="G4" s="23" t="s">
        <v>51</v>
      </c>
      <c r="H4" s="23" t="s">
        <v>51</v>
      </c>
      <c r="I4" s="23" t="s">
        <v>51</v>
      </c>
      <c r="J4" s="23" t="s">
        <v>51</v>
      </c>
      <c r="K4" s="23" t="s">
        <v>51</v>
      </c>
      <c r="L4" s="23" t="s">
        <v>51</v>
      </c>
      <c r="M4" s="23" t="s">
        <v>51</v>
      </c>
      <c r="N4" s="23" t="s">
        <v>51</v>
      </c>
      <c r="O4" s="23" t="s">
        <v>51</v>
      </c>
      <c r="P4" s="23" t="s">
        <v>51</v>
      </c>
      <c r="Q4" s="23" t="s">
        <v>51</v>
      </c>
      <c r="R4" s="23" t="s">
        <v>51</v>
      </c>
    </row>
    <row r="5" spans="1:20" x14ac:dyDescent="0.25">
      <c r="A5" s="11">
        <f>Alumnos!A3</f>
        <v>1</v>
      </c>
      <c r="B5" s="11" t="str">
        <f>_xlfn.CONCAT(Alumnos!C3:D3)</f>
        <v>ARCE TIAGO ARIEL</v>
      </c>
      <c r="C5" s="16">
        <f>Lengua!L5</f>
        <v>0</v>
      </c>
      <c r="D5" s="16">
        <f>'Lengua Extranjera'!L5</f>
        <v>0</v>
      </c>
      <c r="E5" s="16">
        <f>Geografía!L5</f>
        <v>0</v>
      </c>
      <c r="F5" s="16">
        <f>Historia!L5</f>
        <v>0</v>
      </c>
      <c r="G5" s="16">
        <f>'Formación Ética y Ciudadana'!L5</f>
        <v>0</v>
      </c>
      <c r="H5" s="16">
        <f>'Educación Física'!L5</f>
        <v>0</v>
      </c>
      <c r="I5" s="16">
        <f>'Matemática I'!L5</f>
        <v>0</v>
      </c>
      <c r="J5" s="16">
        <f>'Biología I'!L5</f>
        <v>0</v>
      </c>
      <c r="K5" s="16">
        <f>'Dibujo Técnico I'!L5</f>
        <v>0</v>
      </c>
      <c r="L5" s="16">
        <f>'Tecnología I'!L5</f>
        <v>0</v>
      </c>
      <c r="M5" s="16">
        <f>'Taller Electricidad I'!L5</f>
        <v>0</v>
      </c>
      <c r="N5" s="16">
        <f>'Taller Carpintería I'!L5</f>
        <v>0</v>
      </c>
      <c r="O5" s="16">
        <f>'Taller Hojalatería'!L5</f>
        <v>0</v>
      </c>
      <c r="P5" s="16">
        <f>'Taller Ajuste Mecánico'!L5</f>
        <v>0</v>
      </c>
      <c r="Q5" s="16">
        <f>'Taller Informática I'!L5</f>
        <v>0</v>
      </c>
      <c r="R5" s="16">
        <f>'Taller Construcciones I'!L5</f>
        <v>0</v>
      </c>
    </row>
    <row r="6" spans="1:20" x14ac:dyDescent="0.25">
      <c r="A6" s="11">
        <f>Alumnos!A4</f>
        <v>2</v>
      </c>
      <c r="B6" s="11" t="str">
        <f>_xlfn.CONCAT(Alumnos!C4:D4)</f>
        <v>AYALA CRISTIAN ORLANDO</v>
      </c>
      <c r="C6" s="16">
        <f>Lengua!L6</f>
        <v>0</v>
      </c>
      <c r="D6" s="16">
        <f>'Lengua Extranjera'!L6</f>
        <v>0</v>
      </c>
      <c r="E6" s="16">
        <f>Geografía!L6</f>
        <v>0</v>
      </c>
      <c r="F6" s="16">
        <f>Historia!L6</f>
        <v>0</v>
      </c>
      <c r="G6" s="16">
        <f>'Formación Ética y Ciudadana'!L6</f>
        <v>0</v>
      </c>
      <c r="H6" s="16">
        <f>'Educación Física'!L6</f>
        <v>0</v>
      </c>
      <c r="I6" s="16">
        <f>'Matemática I'!L6</f>
        <v>0</v>
      </c>
      <c r="J6" s="16">
        <f>'Biología I'!L6</f>
        <v>0</v>
      </c>
      <c r="K6" s="16">
        <f>'Dibujo Técnico I'!L6</f>
        <v>0</v>
      </c>
      <c r="L6" s="16">
        <f>'Tecnología I'!L6</f>
        <v>0</v>
      </c>
      <c r="M6" s="16">
        <f>'Taller Electricidad I'!L6</f>
        <v>0</v>
      </c>
      <c r="N6" s="16">
        <f>'Taller Carpintería I'!L6</f>
        <v>0</v>
      </c>
      <c r="O6" s="16">
        <f>'Taller Hojalatería'!L6</f>
        <v>0</v>
      </c>
      <c r="P6" s="16">
        <f>'Taller Ajuste Mecánico'!L6</f>
        <v>0</v>
      </c>
      <c r="Q6" s="16">
        <f>'Taller Informática I'!L6</f>
        <v>0</v>
      </c>
      <c r="R6" s="16">
        <f>'Taller Construcciones I'!L6</f>
        <v>0</v>
      </c>
    </row>
    <row r="7" spans="1:20" x14ac:dyDescent="0.25">
      <c r="A7" s="11">
        <f>Alumnos!A5</f>
        <v>3</v>
      </c>
      <c r="B7" s="11" t="str">
        <f>_xlfn.CONCAT(Alumnos!C5:D5)</f>
        <v>BOGADO JONAS NATANIEL</v>
      </c>
      <c r="C7" s="16">
        <f>Lengua!L7</f>
        <v>0</v>
      </c>
      <c r="D7" s="16">
        <f>'Lengua Extranjera'!L7</f>
        <v>0</v>
      </c>
      <c r="E7" s="16">
        <f>Geografía!L7</f>
        <v>0</v>
      </c>
      <c r="F7" s="16">
        <f>Historia!L7</f>
        <v>0</v>
      </c>
      <c r="G7" s="16">
        <f>'Formación Ética y Ciudadana'!L7</f>
        <v>0</v>
      </c>
      <c r="H7" s="16">
        <f>'Educación Física'!L7</f>
        <v>0</v>
      </c>
      <c r="I7" s="16">
        <f>'Matemática I'!L7</f>
        <v>0</v>
      </c>
      <c r="J7" s="16">
        <f>'Biología I'!L7</f>
        <v>0</v>
      </c>
      <c r="K7" s="16">
        <f>'Dibujo Técnico I'!L7</f>
        <v>0</v>
      </c>
      <c r="L7" s="16">
        <f>'Tecnología I'!L7</f>
        <v>0</v>
      </c>
      <c r="M7" s="16">
        <f>'Taller Electricidad I'!L7</f>
        <v>0</v>
      </c>
      <c r="N7" s="16">
        <f>'Taller Carpintería I'!L7</f>
        <v>0</v>
      </c>
      <c r="O7" s="16">
        <f>'Taller Hojalatería'!L7</f>
        <v>0</v>
      </c>
      <c r="P7" s="16">
        <f>'Taller Ajuste Mecánico'!L7</f>
        <v>0</v>
      </c>
      <c r="Q7" s="16">
        <f>'Taller Informática I'!L7</f>
        <v>0</v>
      </c>
      <c r="R7" s="16">
        <f>'Taller Construcciones I'!L7</f>
        <v>0</v>
      </c>
    </row>
    <row r="8" spans="1:20" x14ac:dyDescent="0.25">
      <c r="A8" s="11">
        <f>Alumnos!A6</f>
        <v>4</v>
      </c>
      <c r="B8" s="11" t="str">
        <f>_xlfn.CONCAT(Alumnos!C6:D6)</f>
        <v>BREZ PROCOPIO ANYELINA</v>
      </c>
      <c r="C8" s="16">
        <f>Lengua!L8</f>
        <v>0</v>
      </c>
      <c r="D8" s="16">
        <f>'Lengua Extranjera'!L8</f>
        <v>0</v>
      </c>
      <c r="E8" s="16">
        <f>Geografía!L8</f>
        <v>0</v>
      </c>
      <c r="F8" s="16">
        <f>Historia!L8</f>
        <v>0</v>
      </c>
      <c r="G8" s="16">
        <f>'Formación Ética y Ciudadana'!L8</f>
        <v>0</v>
      </c>
      <c r="H8" s="16">
        <f>'Educación Física'!L8</f>
        <v>0</v>
      </c>
      <c r="I8" s="16">
        <f>'Matemática I'!L8</f>
        <v>0</v>
      </c>
      <c r="J8" s="16">
        <f>'Biología I'!L8</f>
        <v>0</v>
      </c>
      <c r="K8" s="16">
        <f>'Dibujo Técnico I'!L8</f>
        <v>0</v>
      </c>
      <c r="L8" s="16">
        <f>'Tecnología I'!L8</f>
        <v>0</v>
      </c>
      <c r="M8" s="16">
        <f>'Taller Electricidad I'!L8</f>
        <v>0</v>
      </c>
      <c r="N8" s="16">
        <f>'Taller Carpintería I'!L8</f>
        <v>0</v>
      </c>
      <c r="O8" s="16">
        <f>'Taller Hojalatería'!L8</f>
        <v>0</v>
      </c>
      <c r="P8" s="16">
        <f>'Taller Ajuste Mecánico'!L8</f>
        <v>0</v>
      </c>
      <c r="Q8" s="16">
        <f>'Taller Informática I'!L8</f>
        <v>0</v>
      </c>
      <c r="R8" s="16">
        <f>'Taller Construcciones I'!L8</f>
        <v>0</v>
      </c>
    </row>
    <row r="9" spans="1:20" x14ac:dyDescent="0.25">
      <c r="A9" s="11">
        <f>Alumnos!A7</f>
        <v>5</v>
      </c>
      <c r="B9" s="11" t="str">
        <f>_xlfn.CONCAT(Alumnos!C7:D7)</f>
        <v>BREZ PROCOPIO BRENDA</v>
      </c>
      <c r="C9" s="16">
        <f>Lengua!L9</f>
        <v>0</v>
      </c>
      <c r="D9" s="16">
        <f>'Lengua Extranjera'!L9</f>
        <v>0</v>
      </c>
      <c r="E9" s="16">
        <f>Geografía!L9</f>
        <v>0</v>
      </c>
      <c r="F9" s="16">
        <f>Historia!L9</f>
        <v>0</v>
      </c>
      <c r="G9" s="16">
        <f>'Formación Ética y Ciudadana'!L9</f>
        <v>0</v>
      </c>
      <c r="H9" s="16">
        <f>'Educación Física'!L9</f>
        <v>0</v>
      </c>
      <c r="I9" s="16">
        <f>'Matemática I'!L9</f>
        <v>0</v>
      </c>
      <c r="J9" s="16">
        <f>'Biología I'!L9</f>
        <v>0</v>
      </c>
      <c r="K9" s="16">
        <f>'Dibujo Técnico I'!L9</f>
        <v>0</v>
      </c>
      <c r="L9" s="16">
        <f>'Tecnología I'!L9</f>
        <v>0</v>
      </c>
      <c r="M9" s="16">
        <f>'Taller Electricidad I'!L9</f>
        <v>0</v>
      </c>
      <c r="N9" s="16">
        <f>'Taller Carpintería I'!L9</f>
        <v>0</v>
      </c>
      <c r="O9" s="16">
        <f>'Taller Hojalatería'!L9</f>
        <v>0</v>
      </c>
      <c r="P9" s="16">
        <f>'Taller Ajuste Mecánico'!L9</f>
        <v>0</v>
      </c>
      <c r="Q9" s="16">
        <f>'Taller Informática I'!L9</f>
        <v>0</v>
      </c>
      <c r="R9" s="16">
        <f>'Taller Construcciones I'!L9</f>
        <v>0</v>
      </c>
    </row>
    <row r="10" spans="1:20" x14ac:dyDescent="0.25">
      <c r="A10" s="11">
        <f>Alumnos!A8</f>
        <v>6</v>
      </c>
      <c r="B10" s="11" t="str">
        <f>_xlfn.CONCAT(Alumnos!C8:D8)</f>
        <v>BRITEZ NAHIARA ANALIA</v>
      </c>
      <c r="C10" s="16">
        <f>Lengua!L10</f>
        <v>0</v>
      </c>
      <c r="D10" s="16">
        <f>'Lengua Extranjera'!L10</f>
        <v>0</v>
      </c>
      <c r="E10" s="16">
        <f>Geografía!L10</f>
        <v>0</v>
      </c>
      <c r="F10" s="16">
        <f>Historia!L10</f>
        <v>0</v>
      </c>
      <c r="G10" s="16">
        <f>'Formación Ética y Ciudadana'!L10</f>
        <v>0</v>
      </c>
      <c r="H10" s="16">
        <f>'Educación Física'!L10</f>
        <v>0</v>
      </c>
      <c r="I10" s="16">
        <f>'Matemática I'!L10</f>
        <v>0</v>
      </c>
      <c r="J10" s="16">
        <f>'Biología I'!L10</f>
        <v>0</v>
      </c>
      <c r="K10" s="16">
        <f>'Dibujo Técnico I'!L10</f>
        <v>0</v>
      </c>
      <c r="L10" s="16">
        <f>'Tecnología I'!L10</f>
        <v>0</v>
      </c>
      <c r="M10" s="16">
        <f>'Taller Electricidad I'!L10</f>
        <v>0</v>
      </c>
      <c r="N10" s="16">
        <f>'Taller Carpintería I'!L10</f>
        <v>0</v>
      </c>
      <c r="O10" s="16">
        <f>'Taller Hojalatería'!L10</f>
        <v>0</v>
      </c>
      <c r="P10" s="16">
        <f>'Taller Ajuste Mecánico'!L10</f>
        <v>0</v>
      </c>
      <c r="Q10" s="16">
        <f>'Taller Informática I'!L10</f>
        <v>0</v>
      </c>
      <c r="R10" s="16">
        <f>'Taller Construcciones I'!L10</f>
        <v>0</v>
      </c>
    </row>
    <row r="11" spans="1:20" x14ac:dyDescent="0.25">
      <c r="A11" s="11">
        <f>Alumnos!A9</f>
        <v>7</v>
      </c>
      <c r="B11" s="11" t="str">
        <f>_xlfn.CONCAT(Alumnos!C9:D9)</f>
        <v>CACERES SOFIA MARIEL</v>
      </c>
      <c r="C11" s="16">
        <f>Lengua!L11</f>
        <v>0</v>
      </c>
      <c r="D11" s="16">
        <f>'Lengua Extranjera'!L11</f>
        <v>0</v>
      </c>
      <c r="E11" s="16">
        <f>Geografía!L11</f>
        <v>0</v>
      </c>
      <c r="F11" s="16">
        <f>Historia!L11</f>
        <v>0</v>
      </c>
      <c r="G11" s="16">
        <f>'Formación Ética y Ciudadana'!L11</f>
        <v>0</v>
      </c>
      <c r="H11" s="16">
        <f>'Educación Física'!L11</f>
        <v>0</v>
      </c>
      <c r="I11" s="16">
        <f>'Matemática I'!L11</f>
        <v>0</v>
      </c>
      <c r="J11" s="16">
        <f>'Biología I'!L11</f>
        <v>0</v>
      </c>
      <c r="K11" s="16">
        <f>'Dibujo Técnico I'!L11</f>
        <v>0</v>
      </c>
      <c r="L11" s="16">
        <f>'Tecnología I'!L11</f>
        <v>0</v>
      </c>
      <c r="M11" s="16">
        <f>'Taller Electricidad I'!L11</f>
        <v>0</v>
      </c>
      <c r="N11" s="16">
        <f>'Taller Carpintería I'!L11</f>
        <v>0</v>
      </c>
      <c r="O11" s="16">
        <f>'Taller Hojalatería'!L11</f>
        <v>0</v>
      </c>
      <c r="P11" s="16">
        <f>'Taller Ajuste Mecánico'!L11</f>
        <v>0</v>
      </c>
      <c r="Q11" s="16">
        <f>'Taller Informática I'!L11</f>
        <v>0</v>
      </c>
      <c r="R11" s="16">
        <f>'Taller Construcciones I'!L11</f>
        <v>0</v>
      </c>
    </row>
    <row r="12" spans="1:20" x14ac:dyDescent="0.25">
      <c r="A12" s="11">
        <f>Alumnos!A10</f>
        <v>8</v>
      </c>
      <c r="B12" s="11" t="str">
        <f>_xlfn.CONCAT(Alumnos!C10:D10)</f>
        <v>CANEPPELE ELISANDRO MICAEL</v>
      </c>
      <c r="C12" s="16">
        <f>Lengua!L12</f>
        <v>0</v>
      </c>
      <c r="D12" s="16">
        <f>'Lengua Extranjera'!L12</f>
        <v>0</v>
      </c>
      <c r="E12" s="16">
        <f>Geografía!L12</f>
        <v>0</v>
      </c>
      <c r="F12" s="16">
        <f>Historia!L12</f>
        <v>0</v>
      </c>
      <c r="G12" s="16">
        <f>'Formación Ética y Ciudadana'!L12</f>
        <v>0</v>
      </c>
      <c r="H12" s="16">
        <f>'Educación Física'!L12</f>
        <v>0</v>
      </c>
      <c r="I12" s="16">
        <f>'Matemática I'!L12</f>
        <v>0</v>
      </c>
      <c r="J12" s="16">
        <f>'Biología I'!L12</f>
        <v>0</v>
      </c>
      <c r="K12" s="16">
        <f>'Dibujo Técnico I'!L12</f>
        <v>0</v>
      </c>
      <c r="L12" s="16">
        <f>'Tecnología I'!L12</f>
        <v>0</v>
      </c>
      <c r="M12" s="16">
        <f>'Taller Electricidad I'!L12</f>
        <v>0</v>
      </c>
      <c r="N12" s="16">
        <f>'Taller Carpintería I'!L12</f>
        <v>0</v>
      </c>
      <c r="O12" s="16">
        <f>'Taller Hojalatería'!L12</f>
        <v>0</v>
      </c>
      <c r="P12" s="16">
        <f>'Taller Ajuste Mecánico'!L12</f>
        <v>0</v>
      </c>
      <c r="Q12" s="16">
        <f>'Taller Informática I'!L12</f>
        <v>0</v>
      </c>
      <c r="R12" s="16">
        <f>'Taller Construcciones I'!L12</f>
        <v>0</v>
      </c>
    </row>
    <row r="13" spans="1:20" x14ac:dyDescent="0.25">
      <c r="A13" s="11">
        <f>Alumnos!A11</f>
        <v>9</v>
      </c>
      <c r="B13" s="11" t="str">
        <f>_xlfn.CONCAT(Alumnos!C11:D11)</f>
        <v>CUELICHE FABRICIO TADEO</v>
      </c>
      <c r="C13" s="16">
        <f>Lengua!L13</f>
        <v>0</v>
      </c>
      <c r="D13" s="16">
        <f>'Lengua Extranjera'!L13</f>
        <v>0</v>
      </c>
      <c r="E13" s="16">
        <f>Geografía!L13</f>
        <v>0</v>
      </c>
      <c r="F13" s="16">
        <f>Historia!L13</f>
        <v>0</v>
      </c>
      <c r="G13" s="16">
        <f>'Formación Ética y Ciudadana'!L13</f>
        <v>0</v>
      </c>
      <c r="H13" s="16">
        <f>'Educación Física'!L13</f>
        <v>0</v>
      </c>
      <c r="I13" s="16">
        <f>'Matemática I'!L13</f>
        <v>0</v>
      </c>
      <c r="J13" s="16">
        <f>'Biología I'!L13</f>
        <v>0</v>
      </c>
      <c r="K13" s="16">
        <f>'Dibujo Técnico I'!L13</f>
        <v>0</v>
      </c>
      <c r="L13" s="16">
        <f>'Tecnología I'!L13</f>
        <v>0</v>
      </c>
      <c r="M13" s="16">
        <f>'Taller Electricidad I'!L13</f>
        <v>0</v>
      </c>
      <c r="N13" s="16">
        <f>'Taller Carpintería I'!L13</f>
        <v>0</v>
      </c>
      <c r="O13" s="16">
        <f>'Taller Hojalatería'!L13</f>
        <v>0</v>
      </c>
      <c r="P13" s="16">
        <f>'Taller Ajuste Mecánico'!L13</f>
        <v>0</v>
      </c>
      <c r="Q13" s="16">
        <f>'Taller Informática I'!L13</f>
        <v>0</v>
      </c>
      <c r="R13" s="16">
        <f>'Taller Construcciones I'!L13</f>
        <v>0</v>
      </c>
    </row>
    <row r="14" spans="1:20" x14ac:dyDescent="0.25">
      <c r="A14" s="11">
        <f>Alumnos!A12</f>
        <v>10</v>
      </c>
      <c r="B14" s="11" t="str">
        <f>_xlfn.CONCAT(Alumnos!C12:D12)</f>
        <v>DA LUZ ALEX AGUSTIN</v>
      </c>
      <c r="C14" s="16">
        <f>Lengua!L14</f>
        <v>0</v>
      </c>
      <c r="D14" s="16">
        <f>'Lengua Extranjera'!L14</f>
        <v>0</v>
      </c>
      <c r="E14" s="16">
        <f>Geografía!L14</f>
        <v>0</v>
      </c>
      <c r="F14" s="16">
        <f>Historia!L14</f>
        <v>0</v>
      </c>
      <c r="G14" s="16">
        <f>'Formación Ética y Ciudadana'!L14</f>
        <v>0</v>
      </c>
      <c r="H14" s="16">
        <f>'Educación Física'!L14</f>
        <v>0</v>
      </c>
      <c r="I14" s="16">
        <f>'Matemática I'!L14</f>
        <v>0</v>
      </c>
      <c r="J14" s="16">
        <f>'Biología I'!L14</f>
        <v>0</v>
      </c>
      <c r="K14" s="16">
        <f>'Dibujo Técnico I'!L14</f>
        <v>0</v>
      </c>
      <c r="L14" s="16">
        <f>'Tecnología I'!L14</f>
        <v>0</v>
      </c>
      <c r="M14" s="16">
        <f>'Taller Electricidad I'!L14</f>
        <v>0</v>
      </c>
      <c r="N14" s="16">
        <f>'Taller Carpintería I'!L14</f>
        <v>0</v>
      </c>
      <c r="O14" s="16">
        <f>'Taller Hojalatería'!L14</f>
        <v>0</v>
      </c>
      <c r="P14" s="16">
        <f>'Taller Ajuste Mecánico'!L14</f>
        <v>0</v>
      </c>
      <c r="Q14" s="16">
        <f>'Taller Informática I'!L14</f>
        <v>0</v>
      </c>
      <c r="R14" s="16">
        <f>'Taller Construcciones I'!L14</f>
        <v>0</v>
      </c>
    </row>
    <row r="15" spans="1:20" x14ac:dyDescent="0.25">
      <c r="A15" s="11">
        <f>Alumnos!A13</f>
        <v>11</v>
      </c>
      <c r="B15" s="11" t="str">
        <f>_xlfn.CONCAT(Alumnos!C13:D13)</f>
        <v>DA SILVA RUTH ABIGAIL</v>
      </c>
      <c r="C15" s="16">
        <f>Lengua!L15</f>
        <v>0</v>
      </c>
      <c r="D15" s="16">
        <f>'Lengua Extranjera'!L15</f>
        <v>0</v>
      </c>
      <c r="E15" s="16">
        <f>Geografía!L15</f>
        <v>0</v>
      </c>
      <c r="F15" s="16">
        <f>Historia!L15</f>
        <v>0</v>
      </c>
      <c r="G15" s="16">
        <f>'Formación Ética y Ciudadana'!L15</f>
        <v>0</v>
      </c>
      <c r="H15" s="16">
        <f>'Educación Física'!L15</f>
        <v>0</v>
      </c>
      <c r="I15" s="16">
        <f>'Matemática I'!L15</f>
        <v>0</v>
      </c>
      <c r="J15" s="16">
        <f>'Biología I'!L15</f>
        <v>0</v>
      </c>
      <c r="K15" s="16">
        <f>'Dibujo Técnico I'!L15</f>
        <v>0</v>
      </c>
      <c r="L15" s="16">
        <f>'Tecnología I'!L15</f>
        <v>0</v>
      </c>
      <c r="M15" s="16">
        <f>'Taller Electricidad I'!L15</f>
        <v>0</v>
      </c>
      <c r="N15" s="16">
        <f>'Taller Carpintería I'!L15</f>
        <v>0</v>
      </c>
      <c r="O15" s="16">
        <f>'Taller Hojalatería'!L15</f>
        <v>0</v>
      </c>
      <c r="P15" s="16">
        <f>'Taller Ajuste Mecánico'!L15</f>
        <v>0</v>
      </c>
      <c r="Q15" s="16">
        <f>'Taller Informática I'!L15</f>
        <v>0</v>
      </c>
      <c r="R15" s="16">
        <f>'Taller Construcciones I'!L15</f>
        <v>0</v>
      </c>
    </row>
    <row r="16" spans="1:20" x14ac:dyDescent="0.25">
      <c r="A16" s="11">
        <f>Alumnos!A14</f>
        <v>12</v>
      </c>
      <c r="B16" s="11" t="str">
        <f>_xlfn.CONCAT(Alumnos!C14:D14)</f>
        <v>DORNEL MAGALI LEONELA</v>
      </c>
      <c r="C16" s="16">
        <f>Lengua!L16</f>
        <v>0</v>
      </c>
      <c r="D16" s="16">
        <f>'Lengua Extranjera'!L16</f>
        <v>0</v>
      </c>
      <c r="E16" s="16">
        <f>Geografía!L16</f>
        <v>0</v>
      </c>
      <c r="F16" s="16">
        <f>Historia!L16</f>
        <v>0</v>
      </c>
      <c r="G16" s="16">
        <f>'Formación Ética y Ciudadana'!L16</f>
        <v>0</v>
      </c>
      <c r="H16" s="16">
        <f>'Educación Física'!L16</f>
        <v>0</v>
      </c>
      <c r="I16" s="16">
        <f>'Matemática I'!L16</f>
        <v>0</v>
      </c>
      <c r="J16" s="16">
        <f>'Biología I'!L16</f>
        <v>0</v>
      </c>
      <c r="K16" s="16">
        <f>'Dibujo Técnico I'!L16</f>
        <v>0</v>
      </c>
      <c r="L16" s="16">
        <f>'Tecnología I'!L16</f>
        <v>0</v>
      </c>
      <c r="M16" s="16">
        <f>'Taller Electricidad I'!L16</f>
        <v>0</v>
      </c>
      <c r="N16" s="16">
        <f>'Taller Carpintería I'!L16</f>
        <v>0</v>
      </c>
      <c r="O16" s="16">
        <f>'Taller Hojalatería'!L16</f>
        <v>0</v>
      </c>
      <c r="P16" s="16">
        <f>'Taller Ajuste Mecánico'!L16</f>
        <v>0</v>
      </c>
      <c r="Q16" s="16">
        <f>'Taller Informática I'!L16</f>
        <v>0</v>
      </c>
      <c r="R16" s="16">
        <f>'Taller Construcciones I'!L16</f>
        <v>0</v>
      </c>
    </row>
    <row r="17" spans="1:18" x14ac:dyDescent="0.25">
      <c r="A17" s="11">
        <f>Alumnos!A15</f>
        <v>13</v>
      </c>
      <c r="B17" s="11" t="str">
        <f>_xlfn.CONCAT(Alumnos!C15:D15)</f>
        <v>DOS SANTOS ANGEL GABRIEL</v>
      </c>
      <c r="C17" s="16">
        <f>Lengua!L17</f>
        <v>0</v>
      </c>
      <c r="D17" s="16">
        <f>'Lengua Extranjera'!L17</f>
        <v>0</v>
      </c>
      <c r="E17" s="16">
        <f>Geografía!L17</f>
        <v>0</v>
      </c>
      <c r="F17" s="16">
        <f>Historia!L17</f>
        <v>0</v>
      </c>
      <c r="G17" s="16">
        <f>'Formación Ética y Ciudadana'!L17</f>
        <v>0</v>
      </c>
      <c r="H17" s="16">
        <f>'Educación Física'!L17</f>
        <v>0</v>
      </c>
      <c r="I17" s="16">
        <f>'Matemática I'!L17</f>
        <v>0</v>
      </c>
      <c r="J17" s="16">
        <f>'Biología I'!L17</f>
        <v>0</v>
      </c>
      <c r="K17" s="16">
        <f>'Dibujo Técnico I'!L17</f>
        <v>0</v>
      </c>
      <c r="L17" s="16">
        <f>'Tecnología I'!L17</f>
        <v>0</v>
      </c>
      <c r="M17" s="16">
        <f>'Taller Electricidad I'!L17</f>
        <v>0</v>
      </c>
      <c r="N17" s="16">
        <f>'Taller Carpintería I'!L17</f>
        <v>0</v>
      </c>
      <c r="O17" s="16">
        <f>'Taller Hojalatería'!L17</f>
        <v>0</v>
      </c>
      <c r="P17" s="16">
        <f>'Taller Ajuste Mecánico'!L17</f>
        <v>0</v>
      </c>
      <c r="Q17" s="16">
        <f>'Taller Informática I'!L17</f>
        <v>0</v>
      </c>
      <c r="R17" s="16">
        <f>'Taller Construcciones I'!L17</f>
        <v>0</v>
      </c>
    </row>
    <row r="18" spans="1:18" x14ac:dyDescent="0.25">
      <c r="A18" s="11">
        <f>Alumnos!A16</f>
        <v>14</v>
      </c>
      <c r="B18" s="11" t="str">
        <f>_xlfn.CONCAT(Alumnos!C16:D16)</f>
        <v>IGLESIAS WANDA ADALAY</v>
      </c>
      <c r="C18" s="16">
        <f>Lengua!L18</f>
        <v>0</v>
      </c>
      <c r="D18" s="16">
        <f>'Lengua Extranjera'!L18</f>
        <v>0</v>
      </c>
      <c r="E18" s="16">
        <f>Geografía!L18</f>
        <v>0</v>
      </c>
      <c r="F18" s="16">
        <f>Historia!L18</f>
        <v>0</v>
      </c>
      <c r="G18" s="16">
        <f>'Formación Ética y Ciudadana'!L18</f>
        <v>0</v>
      </c>
      <c r="H18" s="16">
        <f>'Educación Física'!L18</f>
        <v>0</v>
      </c>
      <c r="I18" s="16">
        <f>'Matemática I'!L18</f>
        <v>0</v>
      </c>
      <c r="J18" s="16">
        <f>'Biología I'!L18</f>
        <v>0</v>
      </c>
      <c r="K18" s="16">
        <f>'Dibujo Técnico I'!L18</f>
        <v>0</v>
      </c>
      <c r="L18" s="16">
        <f>'Tecnología I'!L18</f>
        <v>0</v>
      </c>
      <c r="M18" s="16">
        <f>'Taller Electricidad I'!L18</f>
        <v>0</v>
      </c>
      <c r="N18" s="16">
        <f>'Taller Carpintería I'!L18</f>
        <v>0</v>
      </c>
      <c r="O18" s="16">
        <f>'Taller Hojalatería'!L18</f>
        <v>0</v>
      </c>
      <c r="P18" s="16">
        <f>'Taller Ajuste Mecánico'!L18</f>
        <v>0</v>
      </c>
      <c r="Q18" s="16">
        <f>'Taller Informática I'!L18</f>
        <v>0</v>
      </c>
      <c r="R18" s="16">
        <f>'Taller Construcciones I'!L18</f>
        <v>0</v>
      </c>
    </row>
    <row r="19" spans="1:18" x14ac:dyDescent="0.25">
      <c r="A19" s="11">
        <f>Alumnos!A17</f>
        <v>15</v>
      </c>
      <c r="B19" s="11" t="str">
        <f>_xlfn.CONCAT(Alumnos!C17:D17)</f>
        <v>KARUCHEK PEREYRA BRANDON EZEQUIEL</v>
      </c>
      <c r="C19" s="16">
        <f>Lengua!L19</f>
        <v>0</v>
      </c>
      <c r="D19" s="16">
        <f>'Lengua Extranjera'!L19</f>
        <v>0</v>
      </c>
      <c r="E19" s="16">
        <f>Geografía!L19</f>
        <v>0</v>
      </c>
      <c r="F19" s="16">
        <f>Historia!L19</f>
        <v>0</v>
      </c>
      <c r="G19" s="16">
        <f>'Formación Ética y Ciudadana'!L19</f>
        <v>0</v>
      </c>
      <c r="H19" s="16">
        <f>'Educación Física'!L19</f>
        <v>0</v>
      </c>
      <c r="I19" s="16">
        <f>'Matemática I'!L19</f>
        <v>0</v>
      </c>
      <c r="J19" s="16">
        <f>'Biología I'!L19</f>
        <v>0</v>
      </c>
      <c r="K19" s="16">
        <f>'Dibujo Técnico I'!L19</f>
        <v>0</v>
      </c>
      <c r="L19" s="16">
        <f>'Tecnología I'!L19</f>
        <v>0</v>
      </c>
      <c r="M19" s="16">
        <f>'Taller Electricidad I'!L19</f>
        <v>0</v>
      </c>
      <c r="N19" s="16">
        <f>'Taller Carpintería I'!L19</f>
        <v>0</v>
      </c>
      <c r="O19" s="16">
        <f>'Taller Hojalatería'!L19</f>
        <v>0</v>
      </c>
      <c r="P19" s="16">
        <f>'Taller Ajuste Mecánico'!L19</f>
        <v>0</v>
      </c>
      <c r="Q19" s="16">
        <f>'Taller Informática I'!L19</f>
        <v>0</v>
      </c>
      <c r="R19" s="16">
        <f>'Taller Construcciones I'!L19</f>
        <v>0</v>
      </c>
    </row>
    <row r="20" spans="1:18" x14ac:dyDescent="0.25">
      <c r="A20" s="11">
        <f>Alumnos!A18</f>
        <v>16</v>
      </c>
      <c r="B20" s="11" t="str">
        <f>_xlfn.CONCAT(Alumnos!C18:D18)</f>
        <v>LOPEZ ELVIN LEONEL</v>
      </c>
      <c r="C20" s="16">
        <f>Lengua!L20</f>
        <v>0</v>
      </c>
      <c r="D20" s="16">
        <f>'Lengua Extranjera'!L20</f>
        <v>0</v>
      </c>
      <c r="E20" s="16">
        <f>Geografía!L20</f>
        <v>0</v>
      </c>
      <c r="F20" s="16">
        <f>Historia!L20</f>
        <v>0</v>
      </c>
      <c r="G20" s="16">
        <f>'Formación Ética y Ciudadana'!L20</f>
        <v>0</v>
      </c>
      <c r="H20" s="16">
        <f>'Educación Física'!L20</f>
        <v>0</v>
      </c>
      <c r="I20" s="16">
        <f>'Matemática I'!L20</f>
        <v>0</v>
      </c>
      <c r="J20" s="16">
        <f>'Biología I'!L20</f>
        <v>0</v>
      </c>
      <c r="K20" s="16">
        <f>'Dibujo Técnico I'!L20</f>
        <v>0</v>
      </c>
      <c r="L20" s="16">
        <f>'Tecnología I'!L20</f>
        <v>0</v>
      </c>
      <c r="M20" s="16">
        <f>'Taller Electricidad I'!L20</f>
        <v>0</v>
      </c>
      <c r="N20" s="16">
        <f>'Taller Carpintería I'!L20</f>
        <v>0</v>
      </c>
      <c r="O20" s="16">
        <f>'Taller Hojalatería'!L20</f>
        <v>0</v>
      </c>
      <c r="P20" s="16">
        <f>'Taller Ajuste Mecánico'!L20</f>
        <v>0</v>
      </c>
      <c r="Q20" s="16">
        <f>'Taller Informática I'!L20</f>
        <v>0</v>
      </c>
      <c r="R20" s="16">
        <f>'Taller Construcciones I'!L20</f>
        <v>0</v>
      </c>
    </row>
    <row r="21" spans="1:18" x14ac:dyDescent="0.25">
      <c r="A21" s="11">
        <f>Alumnos!A19</f>
        <v>17</v>
      </c>
      <c r="B21" s="11" t="str">
        <f>_xlfn.CONCAT(Alumnos!C19:D19)</f>
        <v>MACIEL GOMEZ LIONEL NICOLAS</v>
      </c>
      <c r="C21" s="16">
        <f>Lengua!L21</f>
        <v>0</v>
      </c>
      <c r="D21" s="16">
        <f>'Lengua Extranjera'!L21</f>
        <v>0</v>
      </c>
      <c r="E21" s="16">
        <f>Geografía!L21</f>
        <v>0</v>
      </c>
      <c r="F21" s="16">
        <f>Historia!L21</f>
        <v>0</v>
      </c>
      <c r="G21" s="16">
        <f>'Formación Ética y Ciudadana'!L21</f>
        <v>0</v>
      </c>
      <c r="H21" s="16">
        <f>'Educación Física'!L21</f>
        <v>0</v>
      </c>
      <c r="I21" s="16">
        <f>'Matemática I'!L21</f>
        <v>0</v>
      </c>
      <c r="J21" s="16">
        <f>'Biología I'!L21</f>
        <v>0</v>
      </c>
      <c r="K21" s="16">
        <f>'Dibujo Técnico I'!L21</f>
        <v>0</v>
      </c>
      <c r="L21" s="16">
        <f>'Tecnología I'!L21</f>
        <v>0</v>
      </c>
      <c r="M21" s="16">
        <f>'Taller Electricidad I'!L21</f>
        <v>0</v>
      </c>
      <c r="N21" s="16">
        <f>'Taller Carpintería I'!L21</f>
        <v>0</v>
      </c>
      <c r="O21" s="16">
        <f>'Taller Hojalatería'!L21</f>
        <v>0</v>
      </c>
      <c r="P21" s="16">
        <f>'Taller Ajuste Mecánico'!L21</f>
        <v>0</v>
      </c>
      <c r="Q21" s="16">
        <f>'Taller Informática I'!L21</f>
        <v>0</v>
      </c>
      <c r="R21" s="16">
        <f>'Taller Construcciones I'!L21</f>
        <v>0</v>
      </c>
    </row>
    <row r="22" spans="1:18" x14ac:dyDescent="0.25">
      <c r="A22" s="11">
        <f>Alumnos!A20</f>
        <v>18</v>
      </c>
      <c r="B22" s="11" t="str">
        <f>_xlfn.CONCAT(Alumnos!C20:D20)</f>
        <v>PADILLA JUNIOR EZEQUIEL</v>
      </c>
      <c r="C22" s="16">
        <f>Lengua!L22</f>
        <v>0</v>
      </c>
      <c r="D22" s="16">
        <f>'Lengua Extranjera'!L22</f>
        <v>0</v>
      </c>
      <c r="E22" s="16">
        <f>Geografía!L22</f>
        <v>0</v>
      </c>
      <c r="F22" s="16">
        <f>Historia!L22</f>
        <v>0</v>
      </c>
      <c r="G22" s="16">
        <f>'Formación Ética y Ciudadana'!L22</f>
        <v>0</v>
      </c>
      <c r="H22" s="16">
        <f>'Educación Física'!L22</f>
        <v>0</v>
      </c>
      <c r="I22" s="16">
        <f>'Matemática I'!L22</f>
        <v>0</v>
      </c>
      <c r="J22" s="16">
        <f>'Biología I'!L22</f>
        <v>0</v>
      </c>
      <c r="K22" s="16">
        <f>'Dibujo Técnico I'!L22</f>
        <v>0</v>
      </c>
      <c r="L22" s="16">
        <f>'Tecnología I'!L22</f>
        <v>0</v>
      </c>
      <c r="M22" s="16">
        <f>'Taller Electricidad I'!L22</f>
        <v>0</v>
      </c>
      <c r="N22" s="16">
        <f>'Taller Carpintería I'!L22</f>
        <v>0</v>
      </c>
      <c r="O22" s="16">
        <f>'Taller Hojalatería'!L22</f>
        <v>0</v>
      </c>
      <c r="P22" s="16">
        <f>'Taller Ajuste Mecánico'!L22</f>
        <v>0</v>
      </c>
      <c r="Q22" s="16">
        <f>'Taller Informática I'!L22</f>
        <v>0</v>
      </c>
      <c r="R22" s="16">
        <f>'Taller Construcciones I'!L22</f>
        <v>0</v>
      </c>
    </row>
    <row r="23" spans="1:18" x14ac:dyDescent="0.25">
      <c r="A23" s="11">
        <f>Alumnos!A21</f>
        <v>19</v>
      </c>
      <c r="B23" s="11" t="str">
        <f>_xlfn.CONCAT(Alumnos!C21:D21)</f>
        <v>PATZER AXEL EMANUEL</v>
      </c>
      <c r="C23" s="16">
        <f>Lengua!L23</f>
        <v>0</v>
      </c>
      <c r="D23" s="16">
        <f>'Lengua Extranjera'!L23</f>
        <v>0</v>
      </c>
      <c r="E23" s="16">
        <f>Geografía!L23</f>
        <v>0</v>
      </c>
      <c r="F23" s="16">
        <f>Historia!L23</f>
        <v>0</v>
      </c>
      <c r="G23" s="16">
        <f>'Formación Ética y Ciudadana'!L23</f>
        <v>0</v>
      </c>
      <c r="H23" s="16">
        <f>'Educación Física'!L23</f>
        <v>0</v>
      </c>
      <c r="I23" s="16">
        <f>'Matemática I'!L23</f>
        <v>0</v>
      </c>
      <c r="J23" s="16">
        <f>'Biología I'!L23</f>
        <v>0</v>
      </c>
      <c r="K23" s="16">
        <f>'Dibujo Técnico I'!L23</f>
        <v>0</v>
      </c>
      <c r="L23" s="16">
        <f>'Tecnología I'!L23</f>
        <v>0</v>
      </c>
      <c r="M23" s="16">
        <f>'Taller Electricidad I'!L23</f>
        <v>0</v>
      </c>
      <c r="N23" s="16">
        <f>'Taller Carpintería I'!L23</f>
        <v>0</v>
      </c>
      <c r="O23" s="16">
        <f>'Taller Hojalatería'!L23</f>
        <v>0</v>
      </c>
      <c r="P23" s="16">
        <f>'Taller Ajuste Mecánico'!L23</f>
        <v>0</v>
      </c>
      <c r="Q23" s="16">
        <f>'Taller Informática I'!L23</f>
        <v>0</v>
      </c>
      <c r="R23" s="16">
        <f>'Taller Construcciones I'!L23</f>
        <v>0</v>
      </c>
    </row>
    <row r="24" spans="1:18" x14ac:dyDescent="0.25">
      <c r="A24" s="11">
        <f>Alumnos!A22</f>
        <v>20</v>
      </c>
      <c r="B24" s="11" t="str">
        <f>_xlfn.CONCAT(Alumnos!C22:D22)</f>
        <v>RODRIGUEZ BRUNO SEBASTIAN</v>
      </c>
      <c r="C24" s="16">
        <f>Lengua!L24</f>
        <v>0</v>
      </c>
      <c r="D24" s="16">
        <f>'Lengua Extranjera'!L24</f>
        <v>0</v>
      </c>
      <c r="E24" s="16">
        <f>Geografía!L24</f>
        <v>0</v>
      </c>
      <c r="F24" s="16">
        <f>Historia!L24</f>
        <v>0</v>
      </c>
      <c r="G24" s="16">
        <f>'Formación Ética y Ciudadana'!L24</f>
        <v>0</v>
      </c>
      <c r="H24" s="16">
        <f>'Educación Física'!L24</f>
        <v>0</v>
      </c>
      <c r="I24" s="16">
        <f>'Matemática I'!L24</f>
        <v>0</v>
      </c>
      <c r="J24" s="16">
        <f>'Biología I'!L24</f>
        <v>0</v>
      </c>
      <c r="K24" s="16">
        <f>'Dibujo Técnico I'!L24</f>
        <v>0</v>
      </c>
      <c r="L24" s="16">
        <f>'Tecnología I'!L24</f>
        <v>0</v>
      </c>
      <c r="M24" s="16">
        <f>'Taller Electricidad I'!L24</f>
        <v>0</v>
      </c>
      <c r="N24" s="16">
        <f>'Taller Carpintería I'!L24</f>
        <v>0</v>
      </c>
      <c r="O24" s="16">
        <f>'Taller Hojalatería'!L24</f>
        <v>0</v>
      </c>
      <c r="P24" s="16">
        <f>'Taller Ajuste Mecánico'!L24</f>
        <v>0</v>
      </c>
      <c r="Q24" s="16">
        <f>'Taller Informática I'!L24</f>
        <v>0</v>
      </c>
      <c r="R24" s="16">
        <f>'Taller Construcciones I'!L24</f>
        <v>0</v>
      </c>
    </row>
    <row r="25" spans="1:18" x14ac:dyDescent="0.25">
      <c r="A25" s="11">
        <f>Alumnos!A23</f>
        <v>21</v>
      </c>
      <c r="B25" s="11" t="str">
        <f>_xlfn.CONCAT(Alumnos!C23:D23)</f>
        <v>SCHUVARTZ MIGUEL MARCELO ARIEL</v>
      </c>
      <c r="C25" s="16">
        <f>Lengua!L25</f>
        <v>0</v>
      </c>
      <c r="D25" s="16">
        <f>'Lengua Extranjera'!L25</f>
        <v>0</v>
      </c>
      <c r="E25" s="16">
        <f>Geografía!L25</f>
        <v>0</v>
      </c>
      <c r="F25" s="16">
        <f>Historia!L25</f>
        <v>0</v>
      </c>
      <c r="G25" s="16">
        <f>'Formación Ética y Ciudadana'!L25</f>
        <v>0</v>
      </c>
      <c r="H25" s="16">
        <f>'Educación Física'!L25</f>
        <v>0</v>
      </c>
      <c r="I25" s="16">
        <f>'Matemática I'!L25</f>
        <v>0</v>
      </c>
      <c r="J25" s="16">
        <f>'Biología I'!L25</f>
        <v>0</v>
      </c>
      <c r="K25" s="16">
        <f>'Dibujo Técnico I'!L25</f>
        <v>0</v>
      </c>
      <c r="L25" s="16">
        <f>'Tecnología I'!L25</f>
        <v>0</v>
      </c>
      <c r="M25" s="16">
        <f>'Taller Electricidad I'!L25</f>
        <v>0</v>
      </c>
      <c r="N25" s="16">
        <f>'Taller Carpintería I'!L25</f>
        <v>0</v>
      </c>
      <c r="O25" s="16">
        <f>'Taller Hojalatería'!L25</f>
        <v>0</v>
      </c>
      <c r="P25" s="16">
        <f>'Taller Ajuste Mecánico'!L25</f>
        <v>0</v>
      </c>
      <c r="Q25" s="16">
        <f>'Taller Informática I'!L25</f>
        <v>0</v>
      </c>
      <c r="R25" s="16">
        <f>'Taller Construcciones I'!L25</f>
        <v>0</v>
      </c>
    </row>
    <row r="26" spans="1:18" x14ac:dyDescent="0.25">
      <c r="A26" s="11">
        <f>Alumnos!A24</f>
        <v>22</v>
      </c>
      <c r="B26" s="11" t="str">
        <f>_xlfn.CONCAT(Alumnos!C24:D24)</f>
        <v>SILVERA ILLESCAS RAMIRO GONZALO</v>
      </c>
      <c r="C26" s="16">
        <f>Lengua!L26</f>
        <v>0</v>
      </c>
      <c r="D26" s="16">
        <f>'Lengua Extranjera'!L26</f>
        <v>0</v>
      </c>
      <c r="E26" s="16">
        <f>Geografía!L26</f>
        <v>0</v>
      </c>
      <c r="F26" s="16">
        <f>Historia!L26</f>
        <v>0</v>
      </c>
      <c r="G26" s="16">
        <f>'Formación Ética y Ciudadana'!L26</f>
        <v>0</v>
      </c>
      <c r="H26" s="16">
        <f>'Educación Física'!L26</f>
        <v>0</v>
      </c>
      <c r="I26" s="16">
        <f>'Matemática I'!L26</f>
        <v>0</v>
      </c>
      <c r="J26" s="16">
        <f>'Biología I'!L26</f>
        <v>0</v>
      </c>
      <c r="K26" s="16">
        <f>'Dibujo Técnico I'!L26</f>
        <v>0</v>
      </c>
      <c r="L26" s="16">
        <f>'Tecnología I'!L26</f>
        <v>0</v>
      </c>
      <c r="M26" s="16">
        <f>'Taller Electricidad I'!L26</f>
        <v>0</v>
      </c>
      <c r="N26" s="16">
        <f>'Taller Carpintería I'!L26</f>
        <v>0</v>
      </c>
      <c r="O26" s="16">
        <f>'Taller Hojalatería'!L26</f>
        <v>0</v>
      </c>
      <c r="P26" s="16">
        <f>'Taller Ajuste Mecánico'!L26</f>
        <v>0</v>
      </c>
      <c r="Q26" s="16">
        <f>'Taller Informática I'!L26</f>
        <v>0</v>
      </c>
      <c r="R26" s="16">
        <f>'Taller Construcciones I'!L26</f>
        <v>0</v>
      </c>
    </row>
    <row r="27" spans="1:18" x14ac:dyDescent="0.25">
      <c r="A27" s="11">
        <f>Alumnos!A25</f>
        <v>23</v>
      </c>
      <c r="B27" s="11" t="str">
        <f>_xlfn.CONCAT(Alumnos!C25:D25)</f>
        <v>SILVERO GUADALUPE ITATI</v>
      </c>
      <c r="C27" s="16">
        <f>Lengua!L27</f>
        <v>0</v>
      </c>
      <c r="D27" s="16">
        <f>'Lengua Extranjera'!L27</f>
        <v>0</v>
      </c>
      <c r="E27" s="16">
        <f>Geografía!L27</f>
        <v>0</v>
      </c>
      <c r="F27" s="16">
        <f>Historia!L27</f>
        <v>0</v>
      </c>
      <c r="G27" s="16">
        <f>'Formación Ética y Ciudadana'!L27</f>
        <v>0</v>
      </c>
      <c r="H27" s="16">
        <f>'Educación Física'!L27</f>
        <v>0</v>
      </c>
      <c r="I27" s="16">
        <f>'Matemática I'!L27</f>
        <v>0</v>
      </c>
      <c r="J27" s="16">
        <f>'Biología I'!L27</f>
        <v>0</v>
      </c>
      <c r="K27" s="16">
        <f>'Dibujo Técnico I'!L27</f>
        <v>0</v>
      </c>
      <c r="L27" s="16">
        <f>'Tecnología I'!L27</f>
        <v>0</v>
      </c>
      <c r="M27" s="16">
        <f>'Taller Electricidad I'!L27</f>
        <v>0</v>
      </c>
      <c r="N27" s="16">
        <f>'Taller Carpintería I'!L27</f>
        <v>0</v>
      </c>
      <c r="O27" s="16">
        <f>'Taller Hojalatería'!L27</f>
        <v>0</v>
      </c>
      <c r="P27" s="16">
        <f>'Taller Ajuste Mecánico'!L27</f>
        <v>0</v>
      </c>
      <c r="Q27" s="16">
        <f>'Taller Informática I'!L27</f>
        <v>0</v>
      </c>
      <c r="R27" s="16">
        <f>'Taller Construcciones I'!L27</f>
        <v>0</v>
      </c>
    </row>
    <row r="28" spans="1:18" x14ac:dyDescent="0.25">
      <c r="A28" s="11">
        <f>Alumnos!A26</f>
        <v>24</v>
      </c>
      <c r="B28" s="11" t="str">
        <f>_xlfn.CONCAT(Alumnos!C26:D26)</f>
        <v>STRIEDER MIA ANTONELLA</v>
      </c>
      <c r="C28" s="16">
        <f>Lengua!L28</f>
        <v>0</v>
      </c>
      <c r="D28" s="16">
        <f>'Lengua Extranjera'!L28</f>
        <v>0</v>
      </c>
      <c r="E28" s="16">
        <f>Geografía!L28</f>
        <v>0</v>
      </c>
      <c r="F28" s="16">
        <f>Historia!L28</f>
        <v>0</v>
      </c>
      <c r="G28" s="16">
        <f>'Formación Ética y Ciudadana'!L28</f>
        <v>0</v>
      </c>
      <c r="H28" s="16">
        <f>'Educación Física'!L28</f>
        <v>0</v>
      </c>
      <c r="I28" s="16">
        <f>'Matemática I'!L28</f>
        <v>0</v>
      </c>
      <c r="J28" s="16">
        <f>'Biología I'!L28</f>
        <v>0</v>
      </c>
      <c r="K28" s="16">
        <f>'Dibujo Técnico I'!L28</f>
        <v>0</v>
      </c>
      <c r="L28" s="16">
        <f>'Tecnología I'!L28</f>
        <v>0</v>
      </c>
      <c r="M28" s="16">
        <f>'Taller Electricidad I'!L28</f>
        <v>0</v>
      </c>
      <c r="N28" s="16">
        <f>'Taller Carpintería I'!L28</f>
        <v>0</v>
      </c>
      <c r="O28" s="16">
        <f>'Taller Hojalatería'!L28</f>
        <v>0</v>
      </c>
      <c r="P28" s="16">
        <f>'Taller Ajuste Mecánico'!L28</f>
        <v>0</v>
      </c>
      <c r="Q28" s="16">
        <f>'Taller Informática I'!L28</f>
        <v>0</v>
      </c>
      <c r="R28" s="16">
        <f>'Taller Construcciones I'!L28</f>
        <v>0</v>
      </c>
    </row>
    <row r="29" spans="1:18" x14ac:dyDescent="0.25">
      <c r="A29" s="11">
        <f>Alumnos!A27</f>
        <v>25</v>
      </c>
      <c r="B29" s="11" t="str">
        <f>_xlfn.CONCAT(Alumnos!C27:D27)</f>
        <v>TOLEDO PEREZ MATIAS GABRIEL</v>
      </c>
      <c r="C29" s="16">
        <f>Lengua!L29</f>
        <v>0</v>
      </c>
      <c r="D29" s="16">
        <f>'Lengua Extranjera'!L29</f>
        <v>0</v>
      </c>
      <c r="E29" s="16">
        <f>Geografía!L29</f>
        <v>0</v>
      </c>
      <c r="F29" s="16">
        <f>Historia!L29</f>
        <v>0</v>
      </c>
      <c r="G29" s="16">
        <f>'Formación Ética y Ciudadana'!L29</f>
        <v>0</v>
      </c>
      <c r="H29" s="16">
        <f>'Educación Física'!L29</f>
        <v>0</v>
      </c>
      <c r="I29" s="16">
        <f>'Matemática I'!L29</f>
        <v>0</v>
      </c>
      <c r="J29" s="16">
        <f>'Biología I'!L29</f>
        <v>0</v>
      </c>
      <c r="K29" s="16">
        <f>'Dibujo Técnico I'!L29</f>
        <v>0</v>
      </c>
      <c r="L29" s="16">
        <f>'Tecnología I'!L29</f>
        <v>0</v>
      </c>
      <c r="M29" s="16">
        <f>'Taller Electricidad I'!L29</f>
        <v>0</v>
      </c>
      <c r="N29" s="16">
        <f>'Taller Carpintería I'!L29</f>
        <v>0</v>
      </c>
      <c r="O29" s="16">
        <f>'Taller Hojalatería'!L29</f>
        <v>0</v>
      </c>
      <c r="P29" s="16">
        <f>'Taller Ajuste Mecánico'!L29</f>
        <v>0</v>
      </c>
      <c r="Q29" s="16">
        <f>'Taller Informática I'!L29</f>
        <v>0</v>
      </c>
      <c r="R29" s="16">
        <f>'Taller Construcciones I'!L29</f>
        <v>0</v>
      </c>
    </row>
    <row r="30" spans="1:18" x14ac:dyDescent="0.25">
      <c r="A30" s="11">
        <f>Alumnos!A28</f>
        <v>26</v>
      </c>
      <c r="B30" s="11" t="str">
        <f>_xlfn.CONCAT(Alumnos!C28:D28)</f>
        <v>VASCO TEXEIRA EMILIANA</v>
      </c>
      <c r="C30" s="16">
        <f>Lengua!L30</f>
        <v>0</v>
      </c>
      <c r="D30" s="16">
        <f>'Lengua Extranjera'!L30</f>
        <v>0</v>
      </c>
      <c r="E30" s="16">
        <f>Geografía!L30</f>
        <v>0</v>
      </c>
      <c r="F30" s="16">
        <f>Historia!L30</f>
        <v>0</v>
      </c>
      <c r="G30" s="16">
        <f>'Formación Ética y Ciudadana'!L30</f>
        <v>0</v>
      </c>
      <c r="H30" s="16">
        <f>'Educación Física'!L30</f>
        <v>0</v>
      </c>
      <c r="I30" s="16">
        <f>'Matemática I'!L30</f>
        <v>0</v>
      </c>
      <c r="J30" s="16">
        <f>'Biología I'!L30</f>
        <v>0</v>
      </c>
      <c r="K30" s="16">
        <f>'Dibujo Técnico I'!L30</f>
        <v>0</v>
      </c>
      <c r="L30" s="16">
        <f>'Tecnología I'!L30</f>
        <v>0</v>
      </c>
      <c r="M30" s="16">
        <f>'Taller Electricidad I'!L30</f>
        <v>0</v>
      </c>
      <c r="N30" s="16">
        <f>'Taller Carpintería I'!L30</f>
        <v>0</v>
      </c>
      <c r="O30" s="16">
        <f>'Taller Hojalatería'!L30</f>
        <v>0</v>
      </c>
      <c r="P30" s="16">
        <f>'Taller Ajuste Mecánico'!L30</f>
        <v>0</v>
      </c>
      <c r="Q30" s="16">
        <f>'Taller Informática I'!L30</f>
        <v>0</v>
      </c>
      <c r="R30" s="16">
        <f>'Taller Construcciones I'!L30</f>
        <v>0</v>
      </c>
    </row>
    <row r="31" spans="1:18" x14ac:dyDescent="0.25">
      <c r="A31" s="11">
        <f>Alumnos!A29</f>
        <v>27</v>
      </c>
      <c r="B31" s="11" t="str">
        <f>_xlfn.CONCAT(Alumnos!C29:D29)</f>
        <v>VIDOTTOEMILY MILAGROS</v>
      </c>
      <c r="C31" s="16">
        <f>Lengua!L31</f>
        <v>0</v>
      </c>
      <c r="D31" s="16">
        <f>'Lengua Extranjera'!L31</f>
        <v>0</v>
      </c>
      <c r="E31" s="16">
        <f>Geografía!L31</f>
        <v>0</v>
      </c>
      <c r="F31" s="16">
        <f>Historia!L31</f>
        <v>0</v>
      </c>
      <c r="G31" s="16">
        <f>'Formación Ética y Ciudadana'!L31</f>
        <v>0</v>
      </c>
      <c r="H31" s="16">
        <f>'Educación Física'!L31</f>
        <v>0</v>
      </c>
      <c r="I31" s="16">
        <f>'Matemática I'!L31</f>
        <v>0</v>
      </c>
      <c r="J31" s="16">
        <f>'Biología I'!L31</f>
        <v>0</v>
      </c>
      <c r="K31" s="16">
        <f>'Dibujo Técnico I'!L31</f>
        <v>0</v>
      </c>
      <c r="L31" s="16">
        <f>'Tecnología I'!L31</f>
        <v>0</v>
      </c>
      <c r="M31" s="16">
        <f>'Taller Electricidad I'!L31</f>
        <v>0</v>
      </c>
      <c r="N31" s="16">
        <f>'Taller Carpintería I'!L31</f>
        <v>0</v>
      </c>
      <c r="O31" s="16">
        <f>'Taller Hojalatería'!L31</f>
        <v>0</v>
      </c>
      <c r="P31" s="16">
        <f>'Taller Ajuste Mecánico'!L31</f>
        <v>0</v>
      </c>
      <c r="Q31" s="16">
        <f>'Taller Informática I'!L31</f>
        <v>0</v>
      </c>
      <c r="R31" s="16">
        <f>'Taller Construcciones I'!L31</f>
        <v>0</v>
      </c>
    </row>
    <row r="32" spans="1:18" x14ac:dyDescent="0.25">
      <c r="A32" s="11">
        <f>Alumnos!A30</f>
        <v>28</v>
      </c>
      <c r="B32" s="11" t="str">
        <f>_xlfn.CONCAT(Alumnos!C30:D30)</f>
        <v>VILLALBA LAUTARO DANIEL</v>
      </c>
      <c r="C32" s="16">
        <f>Lengua!L32</f>
        <v>0</v>
      </c>
      <c r="D32" s="16">
        <f>'Lengua Extranjera'!L32</f>
        <v>0</v>
      </c>
      <c r="E32" s="16">
        <f>Geografía!L32</f>
        <v>0</v>
      </c>
      <c r="F32" s="16">
        <f>Historia!L32</f>
        <v>0</v>
      </c>
      <c r="G32" s="16">
        <f>'Formación Ética y Ciudadana'!L32</f>
        <v>0</v>
      </c>
      <c r="H32" s="16">
        <f>'Educación Física'!L32</f>
        <v>0</v>
      </c>
      <c r="I32" s="16">
        <f>'Matemática I'!L32</f>
        <v>0</v>
      </c>
      <c r="J32" s="16">
        <f>'Biología I'!L32</f>
        <v>0</v>
      </c>
      <c r="K32" s="16">
        <f>'Dibujo Técnico I'!L32</f>
        <v>0</v>
      </c>
      <c r="L32" s="16">
        <f>'Tecnología I'!L32</f>
        <v>0</v>
      </c>
      <c r="M32" s="16">
        <f>'Taller Electricidad I'!L32</f>
        <v>0</v>
      </c>
      <c r="N32" s="16">
        <f>'Taller Carpintería I'!L32</f>
        <v>0</v>
      </c>
      <c r="O32" s="16">
        <f>'Taller Hojalatería'!L32</f>
        <v>0</v>
      </c>
      <c r="P32" s="16">
        <f>'Taller Ajuste Mecánico'!L32</f>
        <v>0</v>
      </c>
      <c r="Q32" s="16">
        <f>'Taller Informática I'!L32</f>
        <v>0</v>
      </c>
      <c r="R32" s="16">
        <f>'Taller Construcciones I'!L32</f>
        <v>0</v>
      </c>
    </row>
    <row r="33" spans="1:18" x14ac:dyDescent="0.25">
      <c r="A33" s="11">
        <f>Alumnos!A31</f>
        <v>29</v>
      </c>
      <c r="B33" s="11" t="str">
        <f>_xlfn.CONCAT(Alumnos!C31:D31)</f>
        <v>WANDSCHEER ARMANDO NICOLAS</v>
      </c>
      <c r="C33" s="16">
        <f>Lengua!L33</f>
        <v>0</v>
      </c>
      <c r="D33" s="16">
        <f>'Lengua Extranjera'!L33</f>
        <v>0</v>
      </c>
      <c r="E33" s="16">
        <f>Geografía!L33</f>
        <v>0</v>
      </c>
      <c r="F33" s="16">
        <f>Historia!L33</f>
        <v>0</v>
      </c>
      <c r="G33" s="16">
        <f>'Formación Ética y Ciudadana'!L33</f>
        <v>0</v>
      </c>
      <c r="H33" s="16">
        <f>'Educación Física'!L33</f>
        <v>0</v>
      </c>
      <c r="I33" s="16">
        <f>'Matemática I'!L33</f>
        <v>0</v>
      </c>
      <c r="J33" s="16">
        <f>'Biología I'!L33</f>
        <v>0</v>
      </c>
      <c r="K33" s="16">
        <f>'Dibujo Técnico I'!L33</f>
        <v>0</v>
      </c>
      <c r="L33" s="16">
        <f>'Tecnología I'!L33</f>
        <v>0</v>
      </c>
      <c r="M33" s="16">
        <f>'Taller Electricidad I'!L33</f>
        <v>0</v>
      </c>
      <c r="N33" s="16">
        <f>'Taller Carpintería I'!L33</f>
        <v>0</v>
      </c>
      <c r="O33" s="16">
        <f>'Taller Hojalatería'!L33</f>
        <v>0</v>
      </c>
      <c r="P33" s="16">
        <f>'Taller Ajuste Mecánico'!L33</f>
        <v>0</v>
      </c>
      <c r="Q33" s="16">
        <f>'Taller Informática I'!L33</f>
        <v>0</v>
      </c>
      <c r="R33" s="16">
        <f>'Taller Construcciones I'!L33</f>
        <v>0</v>
      </c>
    </row>
    <row r="34" spans="1:18" x14ac:dyDescent="0.25">
      <c r="A34" s="11">
        <f>Alumnos!A32</f>
        <v>30</v>
      </c>
      <c r="B34" s="11" t="str">
        <f>_xlfn.CONCAT(Alumnos!C32:D32)</f>
        <v/>
      </c>
      <c r="C34" s="16">
        <f>Lengua!L34</f>
        <v>0</v>
      </c>
      <c r="D34" s="16">
        <f>'Lengua Extranjera'!L34</f>
        <v>0</v>
      </c>
      <c r="E34" s="16">
        <f>Geografía!L34</f>
        <v>0</v>
      </c>
      <c r="F34" s="16">
        <f>Historia!L34</f>
        <v>0</v>
      </c>
      <c r="G34" s="16">
        <f>'Formación Ética y Ciudadana'!L34</f>
        <v>0</v>
      </c>
      <c r="H34" s="16">
        <f>'Educación Física'!L34</f>
        <v>0</v>
      </c>
      <c r="I34" s="16">
        <f>'Matemática I'!L34</f>
        <v>0</v>
      </c>
      <c r="J34" s="16">
        <f>'Biología I'!L34</f>
        <v>0</v>
      </c>
      <c r="K34" s="16">
        <f>'Dibujo Técnico I'!L34</f>
        <v>0</v>
      </c>
      <c r="L34" s="16">
        <f>'Tecnología I'!L34</f>
        <v>0</v>
      </c>
      <c r="M34" s="16">
        <f>'Taller Electricidad I'!L34</f>
        <v>0</v>
      </c>
      <c r="N34" s="16">
        <f>'Taller Carpintería I'!L34</f>
        <v>0</v>
      </c>
      <c r="O34" s="16">
        <f>'Taller Hojalatería'!L34</f>
        <v>0</v>
      </c>
      <c r="P34" s="16">
        <f>'Taller Ajuste Mecánico'!L34</f>
        <v>0</v>
      </c>
      <c r="Q34" s="16">
        <f>'Taller Informática I'!L34</f>
        <v>0</v>
      </c>
      <c r="R34" s="16">
        <f>'Taller Construcciones I'!L34</f>
        <v>0</v>
      </c>
    </row>
    <row r="35" spans="1:18" x14ac:dyDescent="0.25">
      <c r="A35" s="11">
        <f>Alumnos!A33</f>
        <v>31</v>
      </c>
      <c r="B35" s="11" t="str">
        <f>_xlfn.CONCAT(Alumnos!C33:D33)</f>
        <v/>
      </c>
      <c r="C35" s="16">
        <f>Lengua!L35</f>
        <v>0</v>
      </c>
      <c r="D35" s="16">
        <f>'Lengua Extranjera'!L35</f>
        <v>0</v>
      </c>
      <c r="E35" s="16">
        <f>Geografía!L35</f>
        <v>0</v>
      </c>
      <c r="F35" s="16">
        <f>Historia!L35</f>
        <v>0</v>
      </c>
      <c r="G35" s="16">
        <f>'Formación Ética y Ciudadana'!L35</f>
        <v>0</v>
      </c>
      <c r="H35" s="16">
        <f>'Educación Física'!L35</f>
        <v>0</v>
      </c>
      <c r="I35" s="16">
        <f>'Matemática I'!L35</f>
        <v>0</v>
      </c>
      <c r="J35" s="16">
        <f>'Biología I'!L35</f>
        <v>0</v>
      </c>
      <c r="K35" s="16">
        <f>'Dibujo Técnico I'!L35</f>
        <v>0</v>
      </c>
      <c r="L35" s="16">
        <f>'Tecnología I'!L35</f>
        <v>0</v>
      </c>
      <c r="M35" s="16">
        <f>'Taller Electricidad I'!L35</f>
        <v>0</v>
      </c>
      <c r="N35" s="16">
        <f>'Taller Carpintería I'!L35</f>
        <v>0</v>
      </c>
      <c r="O35" s="16">
        <f>'Taller Hojalatería'!L35</f>
        <v>0</v>
      </c>
      <c r="P35" s="16">
        <f>'Taller Ajuste Mecánico'!L35</f>
        <v>0</v>
      </c>
      <c r="Q35" s="16">
        <f>'Taller Informática I'!L35</f>
        <v>0</v>
      </c>
      <c r="R35" s="16">
        <f>'Taller Construcciones I'!L35</f>
        <v>0</v>
      </c>
    </row>
    <row r="36" spans="1:18" x14ac:dyDescent="0.25">
      <c r="A36" s="11">
        <f>Alumnos!A34</f>
        <v>32</v>
      </c>
      <c r="B36" s="11" t="str">
        <f>_xlfn.CONCAT(Alumnos!C34:D34)</f>
        <v/>
      </c>
      <c r="C36" s="16">
        <f>Lengua!L36</f>
        <v>0</v>
      </c>
      <c r="D36" s="16">
        <f>'Lengua Extranjera'!L36</f>
        <v>0</v>
      </c>
      <c r="E36" s="16">
        <f>Geografía!L36</f>
        <v>0</v>
      </c>
      <c r="F36" s="16">
        <f>Historia!L36</f>
        <v>0</v>
      </c>
      <c r="G36" s="16">
        <f>'Formación Ética y Ciudadana'!L36</f>
        <v>0</v>
      </c>
      <c r="H36" s="16">
        <f>'Educación Física'!L36</f>
        <v>0</v>
      </c>
      <c r="I36" s="16">
        <f>'Matemática I'!L36</f>
        <v>0</v>
      </c>
      <c r="J36" s="16">
        <f>'Biología I'!L36</f>
        <v>0</v>
      </c>
      <c r="K36" s="16">
        <f>'Dibujo Técnico I'!L36</f>
        <v>0</v>
      </c>
      <c r="L36" s="16">
        <f>'Tecnología I'!L36</f>
        <v>0</v>
      </c>
      <c r="M36" s="16">
        <f>'Taller Electricidad I'!L36</f>
        <v>0</v>
      </c>
      <c r="N36" s="16">
        <f>'Taller Carpintería I'!L36</f>
        <v>0</v>
      </c>
      <c r="O36" s="16">
        <f>'Taller Hojalatería'!L36</f>
        <v>0</v>
      </c>
      <c r="P36" s="16">
        <f>'Taller Ajuste Mecánico'!L36</f>
        <v>0</v>
      </c>
      <c r="Q36" s="16">
        <f>'Taller Informática I'!L36</f>
        <v>0</v>
      </c>
      <c r="R36" s="16">
        <f>'Taller Construcciones I'!L36</f>
        <v>0</v>
      </c>
    </row>
  </sheetData>
  <mergeCells count="2">
    <mergeCell ref="C1:R1"/>
    <mergeCell ref="C2:R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9CA29-5B13-4420-B93C-84811ADB0200}">
  <sheetPr codeName="Hoja37">
    <tabColor rgb="FF00B0F0"/>
  </sheetPr>
  <dimension ref="A1:T36"/>
  <sheetViews>
    <sheetView showGridLines="0" topLeftCell="A3" zoomScaleNormal="100" workbookViewId="0">
      <selection activeCell="AA9" sqref="AA9"/>
    </sheetView>
  </sheetViews>
  <sheetFormatPr baseColWidth="10" defaultColWidth="5.7109375" defaultRowHeight="15" x14ac:dyDescent="0.25"/>
  <cols>
    <col min="1" max="1" width="6.7109375" style="26" bestFit="1" customWidth="1"/>
    <col min="2" max="2" width="40.5703125" style="26" bestFit="1" customWidth="1"/>
    <col min="3" max="18" width="3.7109375" style="28" bestFit="1" customWidth="1"/>
    <col min="19" max="16384" width="5.7109375" style="26"/>
  </cols>
  <sheetData>
    <row r="1" spans="1:20" x14ac:dyDescent="0.25">
      <c r="A1" s="12" t="s">
        <v>47</v>
      </c>
      <c r="B1" s="11">
        <v>2024</v>
      </c>
      <c r="C1" s="29" t="str">
        <f>Plantilla!A1</f>
        <v>Escuela Provincial de Educación Técnica Nº 21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7"/>
      <c r="T1" s="27"/>
    </row>
    <row r="2" spans="1:20" x14ac:dyDescent="0.25">
      <c r="A2" s="12" t="s">
        <v>45</v>
      </c>
      <c r="B2" s="11" t="str">
        <f>Alumnos!B1</f>
        <v>1-A</v>
      </c>
      <c r="C2" s="30" t="s">
        <v>48</v>
      </c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2"/>
    </row>
    <row r="3" spans="1:20" ht="170.25" x14ac:dyDescent="0.25">
      <c r="A3" s="25" t="s">
        <v>44</v>
      </c>
      <c r="B3" s="25" t="s">
        <v>16</v>
      </c>
      <c r="C3" s="24" t="str">
        <f>Lengua!Q3</f>
        <v>Lengua</v>
      </c>
      <c r="D3" s="24" t="s">
        <v>1</v>
      </c>
      <c r="E3" s="24" t="s">
        <v>2</v>
      </c>
      <c r="F3" s="24" t="s">
        <v>3</v>
      </c>
      <c r="G3" s="24" t="s">
        <v>4</v>
      </c>
      <c r="H3" s="24" t="s">
        <v>5</v>
      </c>
      <c r="I3" s="24" t="s">
        <v>6</v>
      </c>
      <c r="J3" s="24" t="s">
        <v>7</v>
      </c>
      <c r="K3" s="24" t="s">
        <v>8</v>
      </c>
      <c r="L3" s="24" t="s">
        <v>9</v>
      </c>
      <c r="M3" s="24" t="s">
        <v>10</v>
      </c>
      <c r="N3" s="24" t="s">
        <v>11</v>
      </c>
      <c r="O3" s="24" t="s">
        <v>12</v>
      </c>
      <c r="P3" s="24" t="s">
        <v>13</v>
      </c>
      <c r="Q3" s="24" t="s">
        <v>14</v>
      </c>
      <c r="R3" s="24" t="s">
        <v>15</v>
      </c>
    </row>
    <row r="4" spans="1:20" x14ac:dyDescent="0.25">
      <c r="A4" s="12" t="s">
        <v>24</v>
      </c>
      <c r="B4" s="12" t="s">
        <v>46</v>
      </c>
      <c r="C4" s="23" t="s">
        <v>51</v>
      </c>
      <c r="D4" s="23" t="s">
        <v>51</v>
      </c>
      <c r="E4" s="23" t="s">
        <v>51</v>
      </c>
      <c r="F4" s="23" t="s">
        <v>51</v>
      </c>
      <c r="G4" s="23" t="s">
        <v>51</v>
      </c>
      <c r="H4" s="23" t="s">
        <v>51</v>
      </c>
      <c r="I4" s="23" t="s">
        <v>51</v>
      </c>
      <c r="J4" s="23" t="s">
        <v>51</v>
      </c>
      <c r="K4" s="23" t="s">
        <v>51</v>
      </c>
      <c r="L4" s="23" t="s">
        <v>51</v>
      </c>
      <c r="M4" s="23" t="s">
        <v>51</v>
      </c>
      <c r="N4" s="23" t="s">
        <v>51</v>
      </c>
      <c r="O4" s="23" t="s">
        <v>51</v>
      </c>
      <c r="P4" s="23" t="s">
        <v>51</v>
      </c>
      <c r="Q4" s="23" t="s">
        <v>51</v>
      </c>
      <c r="R4" s="23" t="s">
        <v>51</v>
      </c>
    </row>
    <row r="5" spans="1:20" x14ac:dyDescent="0.25">
      <c r="A5" s="11">
        <f>Alumnos!A3</f>
        <v>1</v>
      </c>
      <c r="B5" s="11" t="str">
        <f>_xlfn.CONCAT(Alumnos!C3:D3)</f>
        <v>ARCE TIAGO ARIEL</v>
      </c>
      <c r="C5" s="16">
        <f>Lengua!G5</f>
        <v>0</v>
      </c>
      <c r="D5" s="16">
        <f>'Lengua Extranjera'!G5</f>
        <v>0</v>
      </c>
      <c r="E5" s="16">
        <f>Geografía!G5</f>
        <v>0</v>
      </c>
      <c r="F5" s="16">
        <f>Historia!G5</f>
        <v>0</v>
      </c>
      <c r="G5" s="16">
        <f>'Formación Ética y Ciudadana'!G5</f>
        <v>0</v>
      </c>
      <c r="H5" s="16">
        <f>'Educación Física'!G5</f>
        <v>0</v>
      </c>
      <c r="I5" s="16">
        <f>'Matemática I'!G5</f>
        <v>0</v>
      </c>
      <c r="J5" s="16">
        <f>'Biología I'!G5</f>
        <v>0</v>
      </c>
      <c r="K5" s="16">
        <f>'Dibujo Técnico I'!G5</f>
        <v>0</v>
      </c>
      <c r="L5" s="16">
        <f>'Tecnología I'!G5</f>
        <v>0</v>
      </c>
      <c r="M5" s="16">
        <f>'Taller Electricidad I'!G5</f>
        <v>0</v>
      </c>
      <c r="N5" s="16">
        <f>'Taller Carpintería I'!G5</f>
        <v>0</v>
      </c>
      <c r="O5" s="16">
        <f>'Taller Hojalatería'!G5</f>
        <v>0</v>
      </c>
      <c r="P5" s="16">
        <f>'Taller Ajuste Mecánico'!G5</f>
        <v>0</v>
      </c>
      <c r="Q5" s="16">
        <f>'Taller Informática I'!G5</f>
        <v>0</v>
      </c>
      <c r="R5" s="16">
        <f>'Taller Construcciones I'!G5</f>
        <v>0</v>
      </c>
    </row>
    <row r="6" spans="1:20" x14ac:dyDescent="0.25">
      <c r="A6" s="11">
        <f>Alumnos!A4</f>
        <v>2</v>
      </c>
      <c r="B6" s="11" t="str">
        <f>_xlfn.CONCAT(Alumnos!C4:D4)</f>
        <v>AYALA CRISTIAN ORLANDO</v>
      </c>
      <c r="C6" s="16">
        <f>Lengua!G6</f>
        <v>0</v>
      </c>
      <c r="D6" s="16">
        <f>'Lengua Extranjera'!G6</f>
        <v>0</v>
      </c>
      <c r="E6" s="16">
        <f>Geografía!G6</f>
        <v>0</v>
      </c>
      <c r="F6" s="16">
        <f>Historia!G6</f>
        <v>0</v>
      </c>
      <c r="G6" s="16">
        <f>'Formación Ética y Ciudadana'!G6</f>
        <v>0</v>
      </c>
      <c r="H6" s="16">
        <f>'Educación Física'!G6</f>
        <v>0</v>
      </c>
      <c r="I6" s="16">
        <f>'Matemática I'!G6</f>
        <v>0</v>
      </c>
      <c r="J6" s="16">
        <f>'Biología I'!G6</f>
        <v>0</v>
      </c>
      <c r="K6" s="16">
        <f>'Dibujo Técnico I'!G6</f>
        <v>0</v>
      </c>
      <c r="L6" s="16">
        <f>'Tecnología I'!G6</f>
        <v>0</v>
      </c>
      <c r="M6" s="16">
        <f>'Taller Electricidad I'!G6</f>
        <v>0</v>
      </c>
      <c r="N6" s="16">
        <f>'Taller Carpintería I'!G6</f>
        <v>0</v>
      </c>
      <c r="O6" s="16">
        <f>'Taller Hojalatería'!G6</f>
        <v>0</v>
      </c>
      <c r="P6" s="16">
        <f>'Taller Ajuste Mecánico'!G6</f>
        <v>0</v>
      </c>
      <c r="Q6" s="16">
        <f>'Taller Informática I'!G6</f>
        <v>0</v>
      </c>
      <c r="R6" s="16">
        <f>'Taller Construcciones I'!G6</f>
        <v>0</v>
      </c>
    </row>
    <row r="7" spans="1:20" x14ac:dyDescent="0.25">
      <c r="A7" s="11">
        <f>Alumnos!A5</f>
        <v>3</v>
      </c>
      <c r="B7" s="11" t="str">
        <f>_xlfn.CONCAT(Alumnos!C5:D5)</f>
        <v>BOGADO JONAS NATANIEL</v>
      </c>
      <c r="C7" s="16">
        <f>Lengua!G7</f>
        <v>0</v>
      </c>
      <c r="D7" s="16">
        <f>'Lengua Extranjera'!G7</f>
        <v>0</v>
      </c>
      <c r="E7" s="16">
        <f>Geografía!G7</f>
        <v>0</v>
      </c>
      <c r="F7" s="16">
        <f>Historia!G7</f>
        <v>0</v>
      </c>
      <c r="G7" s="16">
        <f>'Formación Ética y Ciudadana'!G7</f>
        <v>0</v>
      </c>
      <c r="H7" s="16">
        <f>'Educación Física'!G7</f>
        <v>0</v>
      </c>
      <c r="I7" s="16">
        <f>'Matemática I'!G7</f>
        <v>0</v>
      </c>
      <c r="J7" s="16">
        <f>'Biología I'!G7</f>
        <v>0</v>
      </c>
      <c r="K7" s="16">
        <f>'Dibujo Técnico I'!G7</f>
        <v>0</v>
      </c>
      <c r="L7" s="16">
        <f>'Tecnología I'!G7</f>
        <v>0</v>
      </c>
      <c r="M7" s="16">
        <f>'Taller Electricidad I'!G7</f>
        <v>0</v>
      </c>
      <c r="N7" s="16">
        <f>'Taller Carpintería I'!G7</f>
        <v>0</v>
      </c>
      <c r="O7" s="16">
        <f>'Taller Hojalatería'!G7</f>
        <v>0</v>
      </c>
      <c r="P7" s="16">
        <f>'Taller Ajuste Mecánico'!G7</f>
        <v>0</v>
      </c>
      <c r="Q7" s="16">
        <f>'Taller Informática I'!G7</f>
        <v>0</v>
      </c>
      <c r="R7" s="16">
        <f>'Taller Construcciones I'!G7</f>
        <v>0</v>
      </c>
    </row>
    <row r="8" spans="1:20" x14ac:dyDescent="0.25">
      <c r="A8" s="11">
        <f>Alumnos!A6</f>
        <v>4</v>
      </c>
      <c r="B8" s="11" t="str">
        <f>_xlfn.CONCAT(Alumnos!C6:D6)</f>
        <v>BREZ PROCOPIO ANYELINA</v>
      </c>
      <c r="C8" s="16">
        <f>Lengua!G8</f>
        <v>0</v>
      </c>
      <c r="D8" s="16">
        <f>'Lengua Extranjera'!G8</f>
        <v>0</v>
      </c>
      <c r="E8" s="16">
        <f>Geografía!G8</f>
        <v>0</v>
      </c>
      <c r="F8" s="16">
        <f>Historia!G8</f>
        <v>0</v>
      </c>
      <c r="G8" s="16">
        <f>'Formación Ética y Ciudadana'!G8</f>
        <v>0</v>
      </c>
      <c r="H8" s="16">
        <f>'Educación Física'!G8</f>
        <v>0</v>
      </c>
      <c r="I8" s="16">
        <f>'Matemática I'!G8</f>
        <v>0</v>
      </c>
      <c r="J8" s="16">
        <f>'Biología I'!G8</f>
        <v>0</v>
      </c>
      <c r="K8" s="16">
        <f>'Dibujo Técnico I'!G8</f>
        <v>0</v>
      </c>
      <c r="L8" s="16">
        <f>'Tecnología I'!G8</f>
        <v>0</v>
      </c>
      <c r="M8" s="16">
        <f>'Taller Electricidad I'!G8</f>
        <v>0</v>
      </c>
      <c r="N8" s="16">
        <f>'Taller Carpintería I'!G8</f>
        <v>0</v>
      </c>
      <c r="O8" s="16">
        <f>'Taller Hojalatería'!G8</f>
        <v>0</v>
      </c>
      <c r="P8" s="16">
        <f>'Taller Ajuste Mecánico'!G8</f>
        <v>0</v>
      </c>
      <c r="Q8" s="16">
        <f>'Taller Informática I'!G8</f>
        <v>0</v>
      </c>
      <c r="R8" s="16">
        <f>'Taller Construcciones I'!G8</f>
        <v>0</v>
      </c>
    </row>
    <row r="9" spans="1:20" x14ac:dyDescent="0.25">
      <c r="A9" s="11">
        <f>Alumnos!A7</f>
        <v>5</v>
      </c>
      <c r="B9" s="11" t="str">
        <f>_xlfn.CONCAT(Alumnos!C7:D7)</f>
        <v>BREZ PROCOPIO BRENDA</v>
      </c>
      <c r="C9" s="16">
        <f>Lengua!G9</f>
        <v>0</v>
      </c>
      <c r="D9" s="16">
        <f>'Lengua Extranjera'!G9</f>
        <v>0</v>
      </c>
      <c r="E9" s="16">
        <f>Geografía!G9</f>
        <v>0</v>
      </c>
      <c r="F9" s="16">
        <f>Historia!G9</f>
        <v>0</v>
      </c>
      <c r="G9" s="16">
        <f>'Formación Ética y Ciudadana'!G9</f>
        <v>0</v>
      </c>
      <c r="H9" s="16">
        <f>'Educación Física'!G9</f>
        <v>0</v>
      </c>
      <c r="I9" s="16">
        <f>'Matemática I'!G9</f>
        <v>0</v>
      </c>
      <c r="J9" s="16">
        <f>'Biología I'!G9</f>
        <v>0</v>
      </c>
      <c r="K9" s="16">
        <f>'Dibujo Técnico I'!G9</f>
        <v>0</v>
      </c>
      <c r="L9" s="16">
        <f>'Tecnología I'!G9</f>
        <v>0</v>
      </c>
      <c r="M9" s="16">
        <f>'Taller Electricidad I'!G9</f>
        <v>0</v>
      </c>
      <c r="N9" s="16">
        <f>'Taller Carpintería I'!G9</f>
        <v>0</v>
      </c>
      <c r="O9" s="16">
        <f>'Taller Hojalatería'!G9</f>
        <v>0</v>
      </c>
      <c r="P9" s="16">
        <f>'Taller Ajuste Mecánico'!G9</f>
        <v>0</v>
      </c>
      <c r="Q9" s="16">
        <f>'Taller Informática I'!G9</f>
        <v>0</v>
      </c>
      <c r="R9" s="16">
        <f>'Taller Construcciones I'!G9</f>
        <v>0</v>
      </c>
    </row>
    <row r="10" spans="1:20" x14ac:dyDescent="0.25">
      <c r="A10" s="11">
        <f>Alumnos!A8</f>
        <v>6</v>
      </c>
      <c r="B10" s="11" t="str">
        <f>_xlfn.CONCAT(Alumnos!C8:D8)</f>
        <v>BRITEZ NAHIARA ANALIA</v>
      </c>
      <c r="C10" s="16">
        <f>Lengua!G10</f>
        <v>0</v>
      </c>
      <c r="D10" s="16">
        <f>'Lengua Extranjera'!G10</f>
        <v>0</v>
      </c>
      <c r="E10" s="16">
        <f>Geografía!G10</f>
        <v>0</v>
      </c>
      <c r="F10" s="16">
        <f>Historia!G10</f>
        <v>0</v>
      </c>
      <c r="G10" s="16">
        <f>'Formación Ética y Ciudadana'!G10</f>
        <v>0</v>
      </c>
      <c r="H10" s="16">
        <f>'Educación Física'!G10</f>
        <v>0</v>
      </c>
      <c r="I10" s="16">
        <f>'Matemática I'!G10</f>
        <v>0</v>
      </c>
      <c r="J10" s="16">
        <f>'Biología I'!G10</f>
        <v>0</v>
      </c>
      <c r="K10" s="16">
        <f>'Dibujo Técnico I'!G10</f>
        <v>0</v>
      </c>
      <c r="L10" s="16">
        <f>'Tecnología I'!G10</f>
        <v>0</v>
      </c>
      <c r="M10" s="16">
        <f>'Taller Electricidad I'!G10</f>
        <v>0</v>
      </c>
      <c r="N10" s="16">
        <f>'Taller Carpintería I'!G10</f>
        <v>0</v>
      </c>
      <c r="O10" s="16">
        <f>'Taller Hojalatería'!G10</f>
        <v>0</v>
      </c>
      <c r="P10" s="16">
        <f>'Taller Ajuste Mecánico'!G10</f>
        <v>0</v>
      </c>
      <c r="Q10" s="16">
        <f>'Taller Informática I'!G10</f>
        <v>0</v>
      </c>
      <c r="R10" s="16">
        <f>'Taller Construcciones I'!G10</f>
        <v>0</v>
      </c>
    </row>
    <row r="11" spans="1:20" x14ac:dyDescent="0.25">
      <c r="A11" s="11">
        <f>Alumnos!A9</f>
        <v>7</v>
      </c>
      <c r="B11" s="11" t="str">
        <f>_xlfn.CONCAT(Alumnos!C9:D9)</f>
        <v>CACERES SOFIA MARIEL</v>
      </c>
      <c r="C11" s="16">
        <f>Lengua!G11</f>
        <v>0</v>
      </c>
      <c r="D11" s="16">
        <f>'Lengua Extranjera'!G11</f>
        <v>0</v>
      </c>
      <c r="E11" s="16">
        <f>Geografía!G11</f>
        <v>0</v>
      </c>
      <c r="F11" s="16">
        <f>Historia!G11</f>
        <v>0</v>
      </c>
      <c r="G11" s="16">
        <f>'Formación Ética y Ciudadana'!G11</f>
        <v>0</v>
      </c>
      <c r="H11" s="16">
        <f>'Educación Física'!G11</f>
        <v>0</v>
      </c>
      <c r="I11" s="16">
        <f>'Matemática I'!G11</f>
        <v>0</v>
      </c>
      <c r="J11" s="16">
        <f>'Biología I'!G11</f>
        <v>0</v>
      </c>
      <c r="K11" s="16">
        <f>'Dibujo Técnico I'!G11</f>
        <v>0</v>
      </c>
      <c r="L11" s="16">
        <f>'Tecnología I'!G11</f>
        <v>0</v>
      </c>
      <c r="M11" s="16">
        <f>'Taller Electricidad I'!G11</f>
        <v>0</v>
      </c>
      <c r="N11" s="16">
        <f>'Taller Carpintería I'!G11</f>
        <v>0</v>
      </c>
      <c r="O11" s="16">
        <f>'Taller Hojalatería'!G11</f>
        <v>0</v>
      </c>
      <c r="P11" s="16">
        <f>'Taller Ajuste Mecánico'!G11</f>
        <v>0</v>
      </c>
      <c r="Q11" s="16">
        <f>'Taller Informática I'!G11</f>
        <v>0</v>
      </c>
      <c r="R11" s="16">
        <f>'Taller Construcciones I'!G11</f>
        <v>0</v>
      </c>
    </row>
    <row r="12" spans="1:20" x14ac:dyDescent="0.25">
      <c r="A12" s="11">
        <f>Alumnos!A10</f>
        <v>8</v>
      </c>
      <c r="B12" s="11" t="str">
        <f>_xlfn.CONCAT(Alumnos!C10:D10)</f>
        <v>CANEPPELE ELISANDRO MICAEL</v>
      </c>
      <c r="C12" s="16">
        <f>Lengua!G12</f>
        <v>0</v>
      </c>
      <c r="D12" s="16">
        <f>'Lengua Extranjera'!G12</f>
        <v>0</v>
      </c>
      <c r="E12" s="16">
        <f>Geografía!G12</f>
        <v>0</v>
      </c>
      <c r="F12" s="16">
        <f>Historia!G12</f>
        <v>0</v>
      </c>
      <c r="G12" s="16">
        <f>'Formación Ética y Ciudadana'!G12</f>
        <v>0</v>
      </c>
      <c r="H12" s="16">
        <f>'Educación Física'!G12</f>
        <v>0</v>
      </c>
      <c r="I12" s="16">
        <f>'Matemática I'!G12</f>
        <v>0</v>
      </c>
      <c r="J12" s="16">
        <f>'Biología I'!G12</f>
        <v>0</v>
      </c>
      <c r="K12" s="16">
        <f>'Dibujo Técnico I'!G12</f>
        <v>0</v>
      </c>
      <c r="L12" s="16">
        <f>'Tecnología I'!G12</f>
        <v>0</v>
      </c>
      <c r="M12" s="16">
        <f>'Taller Electricidad I'!G12</f>
        <v>0</v>
      </c>
      <c r="N12" s="16">
        <f>'Taller Carpintería I'!G12</f>
        <v>0</v>
      </c>
      <c r="O12" s="16">
        <f>'Taller Hojalatería'!G12</f>
        <v>0</v>
      </c>
      <c r="P12" s="16">
        <f>'Taller Ajuste Mecánico'!G12</f>
        <v>0</v>
      </c>
      <c r="Q12" s="16">
        <f>'Taller Informática I'!G12</f>
        <v>0</v>
      </c>
      <c r="R12" s="16">
        <f>'Taller Construcciones I'!G12</f>
        <v>0</v>
      </c>
    </row>
    <row r="13" spans="1:20" x14ac:dyDescent="0.25">
      <c r="A13" s="11">
        <f>Alumnos!A11</f>
        <v>9</v>
      </c>
      <c r="B13" s="11" t="str">
        <f>_xlfn.CONCAT(Alumnos!C11:D11)</f>
        <v>CUELICHE FABRICIO TADEO</v>
      </c>
      <c r="C13" s="16">
        <f>Lengua!G13</f>
        <v>0</v>
      </c>
      <c r="D13" s="16">
        <f>'Lengua Extranjera'!G13</f>
        <v>0</v>
      </c>
      <c r="E13" s="16">
        <f>Geografía!G13</f>
        <v>0</v>
      </c>
      <c r="F13" s="16">
        <f>Historia!G13</f>
        <v>0</v>
      </c>
      <c r="G13" s="16">
        <f>'Formación Ética y Ciudadana'!G13</f>
        <v>0</v>
      </c>
      <c r="H13" s="16">
        <f>'Educación Física'!G13</f>
        <v>0</v>
      </c>
      <c r="I13" s="16">
        <f>'Matemática I'!G13</f>
        <v>0</v>
      </c>
      <c r="J13" s="16">
        <f>'Biología I'!G13</f>
        <v>0</v>
      </c>
      <c r="K13" s="16">
        <f>'Dibujo Técnico I'!G13</f>
        <v>0</v>
      </c>
      <c r="L13" s="16">
        <f>'Tecnología I'!G13</f>
        <v>0</v>
      </c>
      <c r="M13" s="16">
        <f>'Taller Electricidad I'!G13</f>
        <v>0</v>
      </c>
      <c r="N13" s="16">
        <f>'Taller Carpintería I'!G13</f>
        <v>0</v>
      </c>
      <c r="O13" s="16">
        <f>'Taller Hojalatería'!G13</f>
        <v>0</v>
      </c>
      <c r="P13" s="16">
        <f>'Taller Ajuste Mecánico'!G13</f>
        <v>0</v>
      </c>
      <c r="Q13" s="16">
        <f>'Taller Informática I'!G13</f>
        <v>0</v>
      </c>
      <c r="R13" s="16">
        <f>'Taller Construcciones I'!G13</f>
        <v>0</v>
      </c>
    </row>
    <row r="14" spans="1:20" x14ac:dyDescent="0.25">
      <c r="A14" s="11">
        <f>Alumnos!A12</f>
        <v>10</v>
      </c>
      <c r="B14" s="11" t="str">
        <f>_xlfn.CONCAT(Alumnos!C12:D12)</f>
        <v>DA LUZ ALEX AGUSTIN</v>
      </c>
      <c r="C14" s="16">
        <f>Lengua!G14</f>
        <v>0</v>
      </c>
      <c r="D14" s="16">
        <f>'Lengua Extranjera'!G14</f>
        <v>0</v>
      </c>
      <c r="E14" s="16">
        <f>Geografía!G14</f>
        <v>0</v>
      </c>
      <c r="F14" s="16">
        <f>Historia!G14</f>
        <v>0</v>
      </c>
      <c r="G14" s="16">
        <f>'Formación Ética y Ciudadana'!G14</f>
        <v>0</v>
      </c>
      <c r="H14" s="16">
        <f>'Educación Física'!G14</f>
        <v>0</v>
      </c>
      <c r="I14" s="16">
        <f>'Matemática I'!G14</f>
        <v>0</v>
      </c>
      <c r="J14" s="16">
        <f>'Biología I'!G14</f>
        <v>0</v>
      </c>
      <c r="K14" s="16">
        <f>'Dibujo Técnico I'!G14</f>
        <v>0</v>
      </c>
      <c r="L14" s="16">
        <f>'Tecnología I'!G14</f>
        <v>0</v>
      </c>
      <c r="M14" s="16">
        <f>'Taller Electricidad I'!G14</f>
        <v>0</v>
      </c>
      <c r="N14" s="16">
        <f>'Taller Carpintería I'!G14</f>
        <v>0</v>
      </c>
      <c r="O14" s="16">
        <f>'Taller Hojalatería'!G14</f>
        <v>0</v>
      </c>
      <c r="P14" s="16">
        <f>'Taller Ajuste Mecánico'!G14</f>
        <v>0</v>
      </c>
      <c r="Q14" s="16">
        <f>'Taller Informática I'!G14</f>
        <v>0</v>
      </c>
      <c r="R14" s="16">
        <f>'Taller Construcciones I'!G14</f>
        <v>0</v>
      </c>
    </row>
    <row r="15" spans="1:20" x14ac:dyDescent="0.25">
      <c r="A15" s="11">
        <f>Alumnos!A13</f>
        <v>11</v>
      </c>
      <c r="B15" s="11" t="str">
        <f>_xlfn.CONCAT(Alumnos!C13:D13)</f>
        <v>DA SILVA RUTH ABIGAIL</v>
      </c>
      <c r="C15" s="16">
        <f>Lengua!G15</f>
        <v>0</v>
      </c>
      <c r="D15" s="16">
        <f>'Lengua Extranjera'!G15</f>
        <v>0</v>
      </c>
      <c r="E15" s="16">
        <f>Geografía!G15</f>
        <v>0</v>
      </c>
      <c r="F15" s="16">
        <f>Historia!G15</f>
        <v>0</v>
      </c>
      <c r="G15" s="16">
        <f>'Formación Ética y Ciudadana'!G15</f>
        <v>0</v>
      </c>
      <c r="H15" s="16">
        <f>'Educación Física'!G15</f>
        <v>0</v>
      </c>
      <c r="I15" s="16">
        <f>'Matemática I'!G15</f>
        <v>0</v>
      </c>
      <c r="J15" s="16">
        <f>'Biología I'!G15</f>
        <v>0</v>
      </c>
      <c r="K15" s="16">
        <f>'Dibujo Técnico I'!G15</f>
        <v>0</v>
      </c>
      <c r="L15" s="16">
        <f>'Tecnología I'!G15</f>
        <v>0</v>
      </c>
      <c r="M15" s="16">
        <f>'Taller Electricidad I'!G15</f>
        <v>0</v>
      </c>
      <c r="N15" s="16">
        <f>'Taller Carpintería I'!G15</f>
        <v>0</v>
      </c>
      <c r="O15" s="16">
        <f>'Taller Hojalatería'!G15</f>
        <v>0</v>
      </c>
      <c r="P15" s="16">
        <f>'Taller Ajuste Mecánico'!G15</f>
        <v>0</v>
      </c>
      <c r="Q15" s="16">
        <f>'Taller Informática I'!G15</f>
        <v>0</v>
      </c>
      <c r="R15" s="16">
        <f>'Taller Construcciones I'!G15</f>
        <v>0</v>
      </c>
    </row>
    <row r="16" spans="1:20" x14ac:dyDescent="0.25">
      <c r="A16" s="11">
        <f>Alumnos!A14</f>
        <v>12</v>
      </c>
      <c r="B16" s="11" t="str">
        <f>_xlfn.CONCAT(Alumnos!C14:D14)</f>
        <v>DORNEL MAGALI LEONELA</v>
      </c>
      <c r="C16" s="16">
        <f>Lengua!G16</f>
        <v>0</v>
      </c>
      <c r="D16" s="16">
        <f>'Lengua Extranjera'!G16</f>
        <v>0</v>
      </c>
      <c r="E16" s="16">
        <f>Geografía!G16</f>
        <v>0</v>
      </c>
      <c r="F16" s="16">
        <f>Historia!G16</f>
        <v>0</v>
      </c>
      <c r="G16" s="16">
        <f>'Formación Ética y Ciudadana'!G16</f>
        <v>0</v>
      </c>
      <c r="H16" s="16">
        <f>'Educación Física'!G16</f>
        <v>0</v>
      </c>
      <c r="I16" s="16">
        <f>'Matemática I'!G16</f>
        <v>0</v>
      </c>
      <c r="J16" s="16">
        <f>'Biología I'!G16</f>
        <v>0</v>
      </c>
      <c r="K16" s="16">
        <f>'Dibujo Técnico I'!G16</f>
        <v>0</v>
      </c>
      <c r="L16" s="16">
        <f>'Tecnología I'!G16</f>
        <v>0</v>
      </c>
      <c r="M16" s="16">
        <f>'Taller Electricidad I'!G16</f>
        <v>0</v>
      </c>
      <c r="N16" s="16">
        <f>'Taller Carpintería I'!G16</f>
        <v>0</v>
      </c>
      <c r="O16" s="16">
        <f>'Taller Hojalatería'!G16</f>
        <v>0</v>
      </c>
      <c r="P16" s="16">
        <f>'Taller Ajuste Mecánico'!G16</f>
        <v>0</v>
      </c>
      <c r="Q16" s="16">
        <f>'Taller Informática I'!G16</f>
        <v>0</v>
      </c>
      <c r="R16" s="16">
        <f>'Taller Construcciones I'!G16</f>
        <v>0</v>
      </c>
    </row>
    <row r="17" spans="1:18" x14ac:dyDescent="0.25">
      <c r="A17" s="11">
        <f>Alumnos!A15</f>
        <v>13</v>
      </c>
      <c r="B17" s="11" t="str">
        <f>_xlfn.CONCAT(Alumnos!C15:D15)</f>
        <v>DOS SANTOS ANGEL GABRIEL</v>
      </c>
      <c r="C17" s="16">
        <f>Lengua!G17</f>
        <v>0</v>
      </c>
      <c r="D17" s="16">
        <f>'Lengua Extranjera'!G17</f>
        <v>0</v>
      </c>
      <c r="E17" s="16">
        <f>Geografía!G17</f>
        <v>0</v>
      </c>
      <c r="F17" s="16">
        <f>Historia!G17</f>
        <v>0</v>
      </c>
      <c r="G17" s="16">
        <f>'Formación Ética y Ciudadana'!G17</f>
        <v>0</v>
      </c>
      <c r="H17" s="16">
        <f>'Educación Física'!G17</f>
        <v>0</v>
      </c>
      <c r="I17" s="16">
        <f>'Matemática I'!G17</f>
        <v>0</v>
      </c>
      <c r="J17" s="16">
        <f>'Biología I'!G17</f>
        <v>0</v>
      </c>
      <c r="K17" s="16">
        <f>'Dibujo Técnico I'!G17</f>
        <v>0</v>
      </c>
      <c r="L17" s="16">
        <f>'Tecnología I'!G17</f>
        <v>0</v>
      </c>
      <c r="M17" s="16">
        <f>'Taller Electricidad I'!G17</f>
        <v>0</v>
      </c>
      <c r="N17" s="16">
        <f>'Taller Carpintería I'!G17</f>
        <v>0</v>
      </c>
      <c r="O17" s="16">
        <f>'Taller Hojalatería'!G17</f>
        <v>0</v>
      </c>
      <c r="P17" s="16">
        <f>'Taller Ajuste Mecánico'!G17</f>
        <v>0</v>
      </c>
      <c r="Q17" s="16">
        <f>'Taller Informática I'!G17</f>
        <v>0</v>
      </c>
      <c r="R17" s="16">
        <f>'Taller Construcciones I'!G17</f>
        <v>0</v>
      </c>
    </row>
    <row r="18" spans="1:18" x14ac:dyDescent="0.25">
      <c r="A18" s="11">
        <f>Alumnos!A16</f>
        <v>14</v>
      </c>
      <c r="B18" s="11" t="str">
        <f>_xlfn.CONCAT(Alumnos!C16:D16)</f>
        <v>IGLESIAS WANDA ADALAY</v>
      </c>
      <c r="C18" s="16">
        <f>Lengua!G18</f>
        <v>0</v>
      </c>
      <c r="D18" s="16">
        <f>'Lengua Extranjera'!G18</f>
        <v>0</v>
      </c>
      <c r="E18" s="16">
        <f>Geografía!G18</f>
        <v>0</v>
      </c>
      <c r="F18" s="16">
        <f>Historia!G18</f>
        <v>0</v>
      </c>
      <c r="G18" s="16">
        <f>'Formación Ética y Ciudadana'!G18</f>
        <v>0</v>
      </c>
      <c r="H18" s="16">
        <f>'Educación Física'!G18</f>
        <v>0</v>
      </c>
      <c r="I18" s="16">
        <f>'Matemática I'!G18</f>
        <v>0</v>
      </c>
      <c r="J18" s="16">
        <f>'Biología I'!G18</f>
        <v>0</v>
      </c>
      <c r="K18" s="16">
        <f>'Dibujo Técnico I'!G18</f>
        <v>0</v>
      </c>
      <c r="L18" s="16">
        <f>'Tecnología I'!G18</f>
        <v>0</v>
      </c>
      <c r="M18" s="16">
        <f>'Taller Electricidad I'!G18</f>
        <v>0</v>
      </c>
      <c r="N18" s="16">
        <f>'Taller Carpintería I'!G18</f>
        <v>0</v>
      </c>
      <c r="O18" s="16">
        <f>'Taller Hojalatería'!G18</f>
        <v>0</v>
      </c>
      <c r="P18" s="16">
        <f>'Taller Ajuste Mecánico'!G18</f>
        <v>0</v>
      </c>
      <c r="Q18" s="16">
        <f>'Taller Informática I'!G18</f>
        <v>0</v>
      </c>
      <c r="R18" s="16">
        <f>'Taller Construcciones I'!G18</f>
        <v>0</v>
      </c>
    </row>
    <row r="19" spans="1:18" x14ac:dyDescent="0.25">
      <c r="A19" s="11">
        <f>Alumnos!A17</f>
        <v>15</v>
      </c>
      <c r="B19" s="11" t="str">
        <f>_xlfn.CONCAT(Alumnos!C17:D17)</f>
        <v>KARUCHEK PEREYRA BRANDON EZEQUIEL</v>
      </c>
      <c r="C19" s="16">
        <f>Lengua!G19</f>
        <v>0</v>
      </c>
      <c r="D19" s="16">
        <f>'Lengua Extranjera'!G19</f>
        <v>0</v>
      </c>
      <c r="E19" s="16">
        <f>Geografía!G19</f>
        <v>0</v>
      </c>
      <c r="F19" s="16">
        <f>Historia!G19</f>
        <v>0</v>
      </c>
      <c r="G19" s="16">
        <f>'Formación Ética y Ciudadana'!G19</f>
        <v>0</v>
      </c>
      <c r="H19" s="16">
        <f>'Educación Física'!G19</f>
        <v>0</v>
      </c>
      <c r="I19" s="16">
        <f>'Matemática I'!G19</f>
        <v>0</v>
      </c>
      <c r="J19" s="16">
        <f>'Biología I'!G19</f>
        <v>0</v>
      </c>
      <c r="K19" s="16">
        <f>'Dibujo Técnico I'!G19</f>
        <v>0</v>
      </c>
      <c r="L19" s="16">
        <f>'Tecnología I'!G19</f>
        <v>0</v>
      </c>
      <c r="M19" s="16">
        <f>'Taller Electricidad I'!G19</f>
        <v>0</v>
      </c>
      <c r="N19" s="16">
        <f>'Taller Carpintería I'!G19</f>
        <v>0</v>
      </c>
      <c r="O19" s="16">
        <f>'Taller Hojalatería'!G19</f>
        <v>0</v>
      </c>
      <c r="P19" s="16">
        <f>'Taller Ajuste Mecánico'!G19</f>
        <v>0</v>
      </c>
      <c r="Q19" s="16">
        <f>'Taller Informática I'!G19</f>
        <v>0</v>
      </c>
      <c r="R19" s="16">
        <f>'Taller Construcciones I'!G19</f>
        <v>0</v>
      </c>
    </row>
    <row r="20" spans="1:18" x14ac:dyDescent="0.25">
      <c r="A20" s="11">
        <f>Alumnos!A18</f>
        <v>16</v>
      </c>
      <c r="B20" s="11" t="str">
        <f>_xlfn.CONCAT(Alumnos!C18:D18)</f>
        <v>LOPEZ ELVIN LEONEL</v>
      </c>
      <c r="C20" s="16">
        <f>Lengua!G20</f>
        <v>0</v>
      </c>
      <c r="D20" s="16">
        <f>'Lengua Extranjera'!G20</f>
        <v>0</v>
      </c>
      <c r="E20" s="16">
        <f>Geografía!G20</f>
        <v>0</v>
      </c>
      <c r="F20" s="16">
        <f>Historia!G20</f>
        <v>0</v>
      </c>
      <c r="G20" s="16">
        <f>'Formación Ética y Ciudadana'!G20</f>
        <v>0</v>
      </c>
      <c r="H20" s="16">
        <f>'Educación Física'!G20</f>
        <v>0</v>
      </c>
      <c r="I20" s="16">
        <f>'Matemática I'!G20</f>
        <v>0</v>
      </c>
      <c r="J20" s="16">
        <f>'Biología I'!G20</f>
        <v>0</v>
      </c>
      <c r="K20" s="16">
        <f>'Dibujo Técnico I'!G20</f>
        <v>0</v>
      </c>
      <c r="L20" s="16">
        <f>'Tecnología I'!G20</f>
        <v>0</v>
      </c>
      <c r="M20" s="16">
        <f>'Taller Electricidad I'!G20</f>
        <v>0</v>
      </c>
      <c r="N20" s="16">
        <f>'Taller Carpintería I'!G20</f>
        <v>0</v>
      </c>
      <c r="O20" s="16">
        <f>'Taller Hojalatería'!G20</f>
        <v>0</v>
      </c>
      <c r="P20" s="16">
        <f>'Taller Ajuste Mecánico'!G20</f>
        <v>0</v>
      </c>
      <c r="Q20" s="16">
        <f>'Taller Informática I'!G20</f>
        <v>0</v>
      </c>
      <c r="R20" s="16">
        <f>'Taller Construcciones I'!G20</f>
        <v>0</v>
      </c>
    </row>
    <row r="21" spans="1:18" x14ac:dyDescent="0.25">
      <c r="A21" s="11">
        <f>Alumnos!A19</f>
        <v>17</v>
      </c>
      <c r="B21" s="11" t="str">
        <f>_xlfn.CONCAT(Alumnos!C19:D19)</f>
        <v>MACIEL GOMEZ LIONEL NICOLAS</v>
      </c>
      <c r="C21" s="16">
        <f>Lengua!G21</f>
        <v>0</v>
      </c>
      <c r="D21" s="16">
        <f>'Lengua Extranjera'!G21</f>
        <v>0</v>
      </c>
      <c r="E21" s="16">
        <f>Geografía!G21</f>
        <v>0</v>
      </c>
      <c r="F21" s="16">
        <f>Historia!G21</f>
        <v>0</v>
      </c>
      <c r="G21" s="16">
        <f>'Formación Ética y Ciudadana'!G21</f>
        <v>0</v>
      </c>
      <c r="H21" s="16">
        <f>'Educación Física'!G21</f>
        <v>0</v>
      </c>
      <c r="I21" s="16">
        <f>'Matemática I'!G21</f>
        <v>0</v>
      </c>
      <c r="J21" s="16">
        <f>'Biología I'!G21</f>
        <v>0</v>
      </c>
      <c r="K21" s="16">
        <f>'Dibujo Técnico I'!G21</f>
        <v>0</v>
      </c>
      <c r="L21" s="16">
        <f>'Tecnología I'!G21</f>
        <v>0</v>
      </c>
      <c r="M21" s="16">
        <f>'Taller Electricidad I'!G21</f>
        <v>0</v>
      </c>
      <c r="N21" s="16">
        <f>'Taller Carpintería I'!G21</f>
        <v>0</v>
      </c>
      <c r="O21" s="16">
        <f>'Taller Hojalatería'!G21</f>
        <v>0</v>
      </c>
      <c r="P21" s="16">
        <f>'Taller Ajuste Mecánico'!G21</f>
        <v>0</v>
      </c>
      <c r="Q21" s="16">
        <f>'Taller Informática I'!G21</f>
        <v>0</v>
      </c>
      <c r="R21" s="16">
        <f>'Taller Construcciones I'!G21</f>
        <v>0</v>
      </c>
    </row>
    <row r="22" spans="1:18" x14ac:dyDescent="0.25">
      <c r="A22" s="11">
        <f>Alumnos!A20</f>
        <v>18</v>
      </c>
      <c r="B22" s="11" t="str">
        <f>_xlfn.CONCAT(Alumnos!C20:D20)</f>
        <v>PADILLA JUNIOR EZEQUIEL</v>
      </c>
      <c r="C22" s="16">
        <f>Lengua!G22</f>
        <v>0</v>
      </c>
      <c r="D22" s="16">
        <f>'Lengua Extranjera'!G22</f>
        <v>0</v>
      </c>
      <c r="E22" s="16">
        <f>Geografía!G22</f>
        <v>0</v>
      </c>
      <c r="F22" s="16">
        <f>Historia!G22</f>
        <v>0</v>
      </c>
      <c r="G22" s="16">
        <f>'Formación Ética y Ciudadana'!G22</f>
        <v>0</v>
      </c>
      <c r="H22" s="16">
        <f>'Educación Física'!G22</f>
        <v>0</v>
      </c>
      <c r="I22" s="16">
        <f>'Matemática I'!G22</f>
        <v>0</v>
      </c>
      <c r="J22" s="16">
        <f>'Biología I'!G22</f>
        <v>0</v>
      </c>
      <c r="K22" s="16">
        <f>'Dibujo Técnico I'!G22</f>
        <v>0</v>
      </c>
      <c r="L22" s="16">
        <f>'Tecnología I'!G22</f>
        <v>0</v>
      </c>
      <c r="M22" s="16">
        <f>'Taller Electricidad I'!G22</f>
        <v>0</v>
      </c>
      <c r="N22" s="16">
        <f>'Taller Carpintería I'!G22</f>
        <v>0</v>
      </c>
      <c r="O22" s="16">
        <f>'Taller Hojalatería'!G22</f>
        <v>0</v>
      </c>
      <c r="P22" s="16">
        <f>'Taller Ajuste Mecánico'!G22</f>
        <v>0</v>
      </c>
      <c r="Q22" s="16">
        <f>'Taller Informática I'!G22</f>
        <v>0</v>
      </c>
      <c r="R22" s="16">
        <f>'Taller Construcciones I'!G22</f>
        <v>0</v>
      </c>
    </row>
    <row r="23" spans="1:18" x14ac:dyDescent="0.25">
      <c r="A23" s="11">
        <f>Alumnos!A21</f>
        <v>19</v>
      </c>
      <c r="B23" s="11" t="str">
        <f>_xlfn.CONCAT(Alumnos!C21:D21)</f>
        <v>PATZER AXEL EMANUEL</v>
      </c>
      <c r="C23" s="16">
        <f>Lengua!G23</f>
        <v>0</v>
      </c>
      <c r="D23" s="16">
        <f>'Lengua Extranjera'!G23</f>
        <v>0</v>
      </c>
      <c r="E23" s="16">
        <f>Geografía!G23</f>
        <v>0</v>
      </c>
      <c r="F23" s="16">
        <f>Historia!G23</f>
        <v>0</v>
      </c>
      <c r="G23" s="16">
        <f>'Formación Ética y Ciudadana'!G23</f>
        <v>0</v>
      </c>
      <c r="H23" s="16">
        <f>'Educación Física'!G23</f>
        <v>0</v>
      </c>
      <c r="I23" s="16">
        <f>'Matemática I'!G23</f>
        <v>0</v>
      </c>
      <c r="J23" s="16">
        <f>'Biología I'!G23</f>
        <v>0</v>
      </c>
      <c r="K23" s="16">
        <f>'Dibujo Técnico I'!G23</f>
        <v>0</v>
      </c>
      <c r="L23" s="16">
        <f>'Tecnología I'!G23</f>
        <v>0</v>
      </c>
      <c r="M23" s="16">
        <f>'Taller Electricidad I'!G23</f>
        <v>0</v>
      </c>
      <c r="N23" s="16">
        <f>'Taller Carpintería I'!G23</f>
        <v>0</v>
      </c>
      <c r="O23" s="16">
        <f>'Taller Hojalatería'!G23</f>
        <v>0</v>
      </c>
      <c r="P23" s="16">
        <f>'Taller Ajuste Mecánico'!G23</f>
        <v>0</v>
      </c>
      <c r="Q23" s="16">
        <f>'Taller Informática I'!G23</f>
        <v>0</v>
      </c>
      <c r="R23" s="16">
        <f>'Taller Construcciones I'!G23</f>
        <v>0</v>
      </c>
    </row>
    <row r="24" spans="1:18" x14ac:dyDescent="0.25">
      <c r="A24" s="11">
        <f>Alumnos!A22</f>
        <v>20</v>
      </c>
      <c r="B24" s="11" t="str">
        <f>_xlfn.CONCAT(Alumnos!C22:D22)</f>
        <v>RODRIGUEZ BRUNO SEBASTIAN</v>
      </c>
      <c r="C24" s="16">
        <f>Lengua!G24</f>
        <v>0</v>
      </c>
      <c r="D24" s="16">
        <f>'Lengua Extranjera'!G24</f>
        <v>0</v>
      </c>
      <c r="E24" s="16">
        <f>Geografía!G24</f>
        <v>0</v>
      </c>
      <c r="F24" s="16">
        <f>Historia!G24</f>
        <v>0</v>
      </c>
      <c r="G24" s="16">
        <f>'Formación Ética y Ciudadana'!G24</f>
        <v>0</v>
      </c>
      <c r="H24" s="16">
        <f>'Educación Física'!G24</f>
        <v>0</v>
      </c>
      <c r="I24" s="16">
        <f>'Matemática I'!G24</f>
        <v>0</v>
      </c>
      <c r="J24" s="16">
        <f>'Biología I'!G24</f>
        <v>0</v>
      </c>
      <c r="K24" s="16">
        <f>'Dibujo Técnico I'!G24</f>
        <v>0</v>
      </c>
      <c r="L24" s="16">
        <f>'Tecnología I'!G24</f>
        <v>0</v>
      </c>
      <c r="M24" s="16">
        <f>'Taller Electricidad I'!G24</f>
        <v>0</v>
      </c>
      <c r="N24" s="16">
        <f>'Taller Carpintería I'!G24</f>
        <v>0</v>
      </c>
      <c r="O24" s="16">
        <f>'Taller Hojalatería'!G24</f>
        <v>0</v>
      </c>
      <c r="P24" s="16">
        <f>'Taller Ajuste Mecánico'!G24</f>
        <v>0</v>
      </c>
      <c r="Q24" s="16">
        <f>'Taller Informática I'!G24</f>
        <v>0</v>
      </c>
      <c r="R24" s="16">
        <f>'Taller Construcciones I'!G24</f>
        <v>0</v>
      </c>
    </row>
    <row r="25" spans="1:18" x14ac:dyDescent="0.25">
      <c r="A25" s="11">
        <f>Alumnos!A23</f>
        <v>21</v>
      </c>
      <c r="B25" s="11" t="str">
        <f>_xlfn.CONCAT(Alumnos!C23:D23)</f>
        <v>SCHUVARTZ MIGUEL MARCELO ARIEL</v>
      </c>
      <c r="C25" s="16">
        <f>Lengua!G25</f>
        <v>0</v>
      </c>
      <c r="D25" s="16">
        <f>'Lengua Extranjera'!G25</f>
        <v>0</v>
      </c>
      <c r="E25" s="16">
        <f>Geografía!G25</f>
        <v>0</v>
      </c>
      <c r="F25" s="16">
        <f>Historia!G25</f>
        <v>0</v>
      </c>
      <c r="G25" s="16">
        <f>'Formación Ética y Ciudadana'!G25</f>
        <v>0</v>
      </c>
      <c r="H25" s="16">
        <f>'Educación Física'!G25</f>
        <v>0</v>
      </c>
      <c r="I25" s="16">
        <f>'Matemática I'!G25</f>
        <v>0</v>
      </c>
      <c r="J25" s="16">
        <f>'Biología I'!G25</f>
        <v>0</v>
      </c>
      <c r="K25" s="16">
        <f>'Dibujo Técnico I'!G25</f>
        <v>0</v>
      </c>
      <c r="L25" s="16">
        <f>'Tecnología I'!G25</f>
        <v>0</v>
      </c>
      <c r="M25" s="16">
        <f>'Taller Electricidad I'!G25</f>
        <v>0</v>
      </c>
      <c r="N25" s="16">
        <f>'Taller Carpintería I'!G25</f>
        <v>0</v>
      </c>
      <c r="O25" s="16">
        <f>'Taller Hojalatería'!G25</f>
        <v>0</v>
      </c>
      <c r="P25" s="16">
        <f>'Taller Ajuste Mecánico'!G25</f>
        <v>0</v>
      </c>
      <c r="Q25" s="16">
        <f>'Taller Informática I'!G25</f>
        <v>0</v>
      </c>
      <c r="R25" s="16">
        <f>'Taller Construcciones I'!G25</f>
        <v>0</v>
      </c>
    </row>
    <row r="26" spans="1:18" x14ac:dyDescent="0.25">
      <c r="A26" s="11">
        <f>Alumnos!A24</f>
        <v>22</v>
      </c>
      <c r="B26" s="11" t="str">
        <f>_xlfn.CONCAT(Alumnos!C24:D24)</f>
        <v>SILVERA ILLESCAS RAMIRO GONZALO</v>
      </c>
      <c r="C26" s="16">
        <f>Lengua!G26</f>
        <v>0</v>
      </c>
      <c r="D26" s="16">
        <f>'Lengua Extranjera'!G26</f>
        <v>0</v>
      </c>
      <c r="E26" s="16">
        <f>Geografía!G26</f>
        <v>0</v>
      </c>
      <c r="F26" s="16">
        <f>Historia!G26</f>
        <v>0</v>
      </c>
      <c r="G26" s="16">
        <f>'Formación Ética y Ciudadana'!G26</f>
        <v>0</v>
      </c>
      <c r="H26" s="16">
        <f>'Educación Física'!G26</f>
        <v>0</v>
      </c>
      <c r="I26" s="16">
        <f>'Matemática I'!G26</f>
        <v>0</v>
      </c>
      <c r="J26" s="16">
        <f>'Biología I'!G26</f>
        <v>0</v>
      </c>
      <c r="K26" s="16">
        <f>'Dibujo Técnico I'!G26</f>
        <v>0</v>
      </c>
      <c r="L26" s="16">
        <f>'Tecnología I'!G26</f>
        <v>0</v>
      </c>
      <c r="M26" s="16">
        <f>'Taller Electricidad I'!G26</f>
        <v>0</v>
      </c>
      <c r="N26" s="16">
        <f>'Taller Carpintería I'!G26</f>
        <v>0</v>
      </c>
      <c r="O26" s="16">
        <f>'Taller Hojalatería'!G26</f>
        <v>0</v>
      </c>
      <c r="P26" s="16">
        <f>'Taller Ajuste Mecánico'!G26</f>
        <v>0</v>
      </c>
      <c r="Q26" s="16">
        <f>'Taller Informática I'!G26</f>
        <v>0</v>
      </c>
      <c r="R26" s="16">
        <f>'Taller Construcciones I'!G26</f>
        <v>0</v>
      </c>
    </row>
    <row r="27" spans="1:18" x14ac:dyDescent="0.25">
      <c r="A27" s="11">
        <f>Alumnos!A25</f>
        <v>23</v>
      </c>
      <c r="B27" s="11" t="str">
        <f>_xlfn.CONCAT(Alumnos!C25:D25)</f>
        <v>SILVERO GUADALUPE ITATI</v>
      </c>
      <c r="C27" s="16">
        <f>Lengua!G27</f>
        <v>0</v>
      </c>
      <c r="D27" s="16">
        <f>'Lengua Extranjera'!G27</f>
        <v>0</v>
      </c>
      <c r="E27" s="16">
        <f>Geografía!G27</f>
        <v>0</v>
      </c>
      <c r="F27" s="16">
        <f>Historia!G27</f>
        <v>0</v>
      </c>
      <c r="G27" s="16">
        <f>'Formación Ética y Ciudadana'!G27</f>
        <v>0</v>
      </c>
      <c r="H27" s="16">
        <f>'Educación Física'!G27</f>
        <v>0</v>
      </c>
      <c r="I27" s="16">
        <f>'Matemática I'!G27</f>
        <v>0</v>
      </c>
      <c r="J27" s="16">
        <f>'Biología I'!G27</f>
        <v>0</v>
      </c>
      <c r="K27" s="16">
        <f>'Dibujo Técnico I'!G27</f>
        <v>0</v>
      </c>
      <c r="L27" s="16">
        <f>'Tecnología I'!G27</f>
        <v>0</v>
      </c>
      <c r="M27" s="16">
        <f>'Taller Electricidad I'!G27</f>
        <v>0</v>
      </c>
      <c r="N27" s="16">
        <f>'Taller Carpintería I'!G27</f>
        <v>0</v>
      </c>
      <c r="O27" s="16">
        <f>'Taller Hojalatería'!G27</f>
        <v>0</v>
      </c>
      <c r="P27" s="16">
        <f>'Taller Ajuste Mecánico'!G27</f>
        <v>0</v>
      </c>
      <c r="Q27" s="16">
        <f>'Taller Informática I'!G27</f>
        <v>0</v>
      </c>
      <c r="R27" s="16">
        <f>'Taller Construcciones I'!G27</f>
        <v>0</v>
      </c>
    </row>
    <row r="28" spans="1:18" x14ac:dyDescent="0.25">
      <c r="A28" s="11">
        <f>Alumnos!A26</f>
        <v>24</v>
      </c>
      <c r="B28" s="11" t="str">
        <f>_xlfn.CONCAT(Alumnos!C26:D26)</f>
        <v>STRIEDER MIA ANTONELLA</v>
      </c>
      <c r="C28" s="16">
        <f>Lengua!G28</f>
        <v>0</v>
      </c>
      <c r="D28" s="16">
        <f>'Lengua Extranjera'!G28</f>
        <v>0</v>
      </c>
      <c r="E28" s="16">
        <f>Geografía!G28</f>
        <v>0</v>
      </c>
      <c r="F28" s="16">
        <f>Historia!G28</f>
        <v>0</v>
      </c>
      <c r="G28" s="16">
        <f>'Formación Ética y Ciudadana'!G28</f>
        <v>0</v>
      </c>
      <c r="H28" s="16">
        <f>'Educación Física'!G28</f>
        <v>0</v>
      </c>
      <c r="I28" s="16">
        <f>'Matemática I'!G28</f>
        <v>0</v>
      </c>
      <c r="J28" s="16">
        <f>'Biología I'!G28</f>
        <v>0</v>
      </c>
      <c r="K28" s="16">
        <f>'Dibujo Técnico I'!G28</f>
        <v>0</v>
      </c>
      <c r="L28" s="16">
        <f>'Tecnología I'!G28</f>
        <v>0</v>
      </c>
      <c r="M28" s="16">
        <f>'Taller Electricidad I'!G28</f>
        <v>0</v>
      </c>
      <c r="N28" s="16">
        <f>'Taller Carpintería I'!G28</f>
        <v>0</v>
      </c>
      <c r="O28" s="16">
        <f>'Taller Hojalatería'!G28</f>
        <v>0</v>
      </c>
      <c r="P28" s="16">
        <f>'Taller Ajuste Mecánico'!G28</f>
        <v>0</v>
      </c>
      <c r="Q28" s="16">
        <f>'Taller Informática I'!G28</f>
        <v>0</v>
      </c>
      <c r="R28" s="16">
        <f>'Taller Construcciones I'!G28</f>
        <v>0</v>
      </c>
    </row>
    <row r="29" spans="1:18" x14ac:dyDescent="0.25">
      <c r="A29" s="11">
        <f>Alumnos!A27</f>
        <v>25</v>
      </c>
      <c r="B29" s="11" t="str">
        <f>_xlfn.CONCAT(Alumnos!C27:D27)</f>
        <v>TOLEDO PEREZ MATIAS GABRIEL</v>
      </c>
      <c r="C29" s="16">
        <f>Lengua!G29</f>
        <v>0</v>
      </c>
      <c r="D29" s="16">
        <f>'Lengua Extranjera'!G29</f>
        <v>0</v>
      </c>
      <c r="E29" s="16">
        <f>Geografía!G29</f>
        <v>0</v>
      </c>
      <c r="F29" s="16">
        <f>Historia!G29</f>
        <v>0</v>
      </c>
      <c r="G29" s="16">
        <f>'Formación Ética y Ciudadana'!G29</f>
        <v>0</v>
      </c>
      <c r="H29" s="16">
        <f>'Educación Física'!G29</f>
        <v>0</v>
      </c>
      <c r="I29" s="16">
        <f>'Matemática I'!G29</f>
        <v>0</v>
      </c>
      <c r="J29" s="16">
        <f>'Biología I'!G29</f>
        <v>0</v>
      </c>
      <c r="K29" s="16">
        <f>'Dibujo Técnico I'!G29</f>
        <v>0</v>
      </c>
      <c r="L29" s="16">
        <f>'Tecnología I'!G29</f>
        <v>0</v>
      </c>
      <c r="M29" s="16">
        <f>'Taller Electricidad I'!G29</f>
        <v>0</v>
      </c>
      <c r="N29" s="16">
        <f>'Taller Carpintería I'!G29</f>
        <v>0</v>
      </c>
      <c r="O29" s="16">
        <f>'Taller Hojalatería'!G29</f>
        <v>0</v>
      </c>
      <c r="P29" s="16">
        <f>'Taller Ajuste Mecánico'!G29</f>
        <v>0</v>
      </c>
      <c r="Q29" s="16">
        <f>'Taller Informática I'!G29</f>
        <v>0</v>
      </c>
      <c r="R29" s="16">
        <f>'Taller Construcciones I'!G29</f>
        <v>0</v>
      </c>
    </row>
    <row r="30" spans="1:18" x14ac:dyDescent="0.25">
      <c r="A30" s="11">
        <f>Alumnos!A28</f>
        <v>26</v>
      </c>
      <c r="B30" s="11" t="str">
        <f>_xlfn.CONCAT(Alumnos!C28:D28)</f>
        <v>VASCO TEXEIRA EMILIANA</v>
      </c>
      <c r="C30" s="16">
        <f>Lengua!G30</f>
        <v>0</v>
      </c>
      <c r="D30" s="16">
        <f>'Lengua Extranjera'!G30</f>
        <v>0</v>
      </c>
      <c r="E30" s="16">
        <f>Geografía!G30</f>
        <v>0</v>
      </c>
      <c r="F30" s="16">
        <f>Historia!G30</f>
        <v>0</v>
      </c>
      <c r="G30" s="16">
        <f>'Formación Ética y Ciudadana'!G30</f>
        <v>0</v>
      </c>
      <c r="H30" s="16">
        <f>'Educación Física'!G30</f>
        <v>0</v>
      </c>
      <c r="I30" s="16">
        <f>'Matemática I'!G30</f>
        <v>0</v>
      </c>
      <c r="J30" s="16">
        <f>'Biología I'!G30</f>
        <v>0</v>
      </c>
      <c r="K30" s="16">
        <f>'Dibujo Técnico I'!G30</f>
        <v>0</v>
      </c>
      <c r="L30" s="16">
        <f>'Tecnología I'!G30</f>
        <v>0</v>
      </c>
      <c r="M30" s="16">
        <f>'Taller Electricidad I'!G30</f>
        <v>0</v>
      </c>
      <c r="N30" s="16">
        <f>'Taller Carpintería I'!G30</f>
        <v>0</v>
      </c>
      <c r="O30" s="16">
        <f>'Taller Hojalatería'!G30</f>
        <v>0</v>
      </c>
      <c r="P30" s="16">
        <f>'Taller Ajuste Mecánico'!G30</f>
        <v>0</v>
      </c>
      <c r="Q30" s="16">
        <f>'Taller Informática I'!G30</f>
        <v>0</v>
      </c>
      <c r="R30" s="16">
        <f>'Taller Construcciones I'!G30</f>
        <v>0</v>
      </c>
    </row>
    <row r="31" spans="1:18" x14ac:dyDescent="0.25">
      <c r="A31" s="11">
        <f>Alumnos!A29</f>
        <v>27</v>
      </c>
      <c r="B31" s="11" t="str">
        <f>_xlfn.CONCAT(Alumnos!C29:D29)</f>
        <v>VIDOTTOEMILY MILAGROS</v>
      </c>
      <c r="C31" s="16">
        <f>Lengua!G31</f>
        <v>0</v>
      </c>
      <c r="D31" s="16">
        <f>'Lengua Extranjera'!G31</f>
        <v>0</v>
      </c>
      <c r="E31" s="16">
        <f>Geografía!G31</f>
        <v>0</v>
      </c>
      <c r="F31" s="16">
        <f>Historia!G31</f>
        <v>0</v>
      </c>
      <c r="G31" s="16">
        <f>'Formación Ética y Ciudadana'!G31</f>
        <v>0</v>
      </c>
      <c r="H31" s="16">
        <f>'Educación Física'!G31</f>
        <v>0</v>
      </c>
      <c r="I31" s="16">
        <f>'Matemática I'!G31</f>
        <v>0</v>
      </c>
      <c r="J31" s="16">
        <f>'Biología I'!G31</f>
        <v>0</v>
      </c>
      <c r="K31" s="16">
        <f>'Dibujo Técnico I'!G31</f>
        <v>0</v>
      </c>
      <c r="L31" s="16">
        <f>'Tecnología I'!G31</f>
        <v>0</v>
      </c>
      <c r="M31" s="16">
        <f>'Taller Electricidad I'!G31</f>
        <v>0</v>
      </c>
      <c r="N31" s="16">
        <f>'Taller Carpintería I'!G31</f>
        <v>0</v>
      </c>
      <c r="O31" s="16">
        <f>'Taller Hojalatería'!G31</f>
        <v>0</v>
      </c>
      <c r="P31" s="16">
        <f>'Taller Ajuste Mecánico'!G31</f>
        <v>0</v>
      </c>
      <c r="Q31" s="16">
        <f>'Taller Informática I'!G31</f>
        <v>0</v>
      </c>
      <c r="R31" s="16">
        <f>'Taller Construcciones I'!G31</f>
        <v>0</v>
      </c>
    </row>
    <row r="32" spans="1:18" x14ac:dyDescent="0.25">
      <c r="A32" s="11">
        <f>Alumnos!A30</f>
        <v>28</v>
      </c>
      <c r="B32" s="11" t="str">
        <f>_xlfn.CONCAT(Alumnos!C30:D30)</f>
        <v>VILLALBA LAUTARO DANIEL</v>
      </c>
      <c r="C32" s="16">
        <f>Lengua!G32</f>
        <v>0</v>
      </c>
      <c r="D32" s="16">
        <f>'Lengua Extranjera'!G32</f>
        <v>0</v>
      </c>
      <c r="E32" s="16">
        <f>Geografía!G32</f>
        <v>0</v>
      </c>
      <c r="F32" s="16">
        <f>Historia!G32</f>
        <v>0</v>
      </c>
      <c r="G32" s="16">
        <f>'Formación Ética y Ciudadana'!G32</f>
        <v>0</v>
      </c>
      <c r="H32" s="16">
        <f>'Educación Física'!G32</f>
        <v>0</v>
      </c>
      <c r="I32" s="16">
        <f>'Matemática I'!G32</f>
        <v>0</v>
      </c>
      <c r="J32" s="16">
        <f>'Biología I'!G32</f>
        <v>0</v>
      </c>
      <c r="K32" s="16">
        <f>'Dibujo Técnico I'!G32</f>
        <v>0</v>
      </c>
      <c r="L32" s="16">
        <f>'Tecnología I'!G32</f>
        <v>0</v>
      </c>
      <c r="M32" s="16">
        <f>'Taller Electricidad I'!G32</f>
        <v>0</v>
      </c>
      <c r="N32" s="16">
        <f>'Taller Carpintería I'!G32</f>
        <v>0</v>
      </c>
      <c r="O32" s="16">
        <f>'Taller Hojalatería'!G32</f>
        <v>0</v>
      </c>
      <c r="P32" s="16">
        <f>'Taller Ajuste Mecánico'!G32</f>
        <v>0</v>
      </c>
      <c r="Q32" s="16">
        <f>'Taller Informática I'!G32</f>
        <v>0</v>
      </c>
      <c r="R32" s="16">
        <f>'Taller Construcciones I'!G32</f>
        <v>0</v>
      </c>
    </row>
    <row r="33" spans="1:18" x14ac:dyDescent="0.25">
      <c r="A33" s="11">
        <f>Alumnos!A31</f>
        <v>29</v>
      </c>
      <c r="B33" s="11" t="str">
        <f>_xlfn.CONCAT(Alumnos!C31:D31)</f>
        <v>WANDSCHEER ARMANDO NICOLAS</v>
      </c>
      <c r="C33" s="16">
        <f>Lengua!G33</f>
        <v>0</v>
      </c>
      <c r="D33" s="16">
        <f>'Lengua Extranjera'!G33</f>
        <v>0</v>
      </c>
      <c r="E33" s="16">
        <f>Geografía!G33</f>
        <v>0</v>
      </c>
      <c r="F33" s="16">
        <f>Historia!G33</f>
        <v>0</v>
      </c>
      <c r="G33" s="16">
        <f>'Formación Ética y Ciudadana'!G33</f>
        <v>0</v>
      </c>
      <c r="H33" s="16">
        <f>'Educación Física'!G33</f>
        <v>0</v>
      </c>
      <c r="I33" s="16">
        <f>'Matemática I'!G33</f>
        <v>0</v>
      </c>
      <c r="J33" s="16">
        <f>'Biología I'!G33</f>
        <v>0</v>
      </c>
      <c r="K33" s="16">
        <f>'Dibujo Técnico I'!G33</f>
        <v>0</v>
      </c>
      <c r="L33" s="16">
        <f>'Tecnología I'!G33</f>
        <v>0</v>
      </c>
      <c r="M33" s="16">
        <f>'Taller Electricidad I'!G33</f>
        <v>0</v>
      </c>
      <c r="N33" s="16">
        <f>'Taller Carpintería I'!G33</f>
        <v>0</v>
      </c>
      <c r="O33" s="16">
        <f>'Taller Hojalatería'!G33</f>
        <v>0</v>
      </c>
      <c r="P33" s="16">
        <f>'Taller Ajuste Mecánico'!G33</f>
        <v>0</v>
      </c>
      <c r="Q33" s="16">
        <f>'Taller Informática I'!G33</f>
        <v>0</v>
      </c>
      <c r="R33" s="16">
        <f>'Taller Construcciones I'!G33</f>
        <v>0</v>
      </c>
    </row>
    <row r="34" spans="1:18" x14ac:dyDescent="0.25">
      <c r="A34" s="11">
        <f>Alumnos!A32</f>
        <v>30</v>
      </c>
      <c r="B34" s="11" t="str">
        <f>_xlfn.CONCAT(Alumnos!C32:D32)</f>
        <v/>
      </c>
      <c r="C34" s="16">
        <f>Lengua!G34</f>
        <v>0</v>
      </c>
      <c r="D34" s="16">
        <f>'Lengua Extranjera'!G34</f>
        <v>0</v>
      </c>
      <c r="E34" s="16">
        <f>Geografía!G34</f>
        <v>0</v>
      </c>
      <c r="F34" s="16">
        <f>Historia!G34</f>
        <v>0</v>
      </c>
      <c r="G34" s="16">
        <f>'Formación Ética y Ciudadana'!G34</f>
        <v>0</v>
      </c>
      <c r="H34" s="16">
        <f>'Educación Física'!G34</f>
        <v>0</v>
      </c>
      <c r="I34" s="16">
        <f>'Matemática I'!G34</f>
        <v>0</v>
      </c>
      <c r="J34" s="16">
        <f>'Biología I'!G34</f>
        <v>0</v>
      </c>
      <c r="K34" s="16">
        <f>'Dibujo Técnico I'!G34</f>
        <v>0</v>
      </c>
      <c r="L34" s="16">
        <f>'Tecnología I'!G34</f>
        <v>0</v>
      </c>
      <c r="M34" s="16">
        <f>'Taller Electricidad I'!G34</f>
        <v>0</v>
      </c>
      <c r="N34" s="16">
        <f>'Taller Carpintería I'!G34</f>
        <v>0</v>
      </c>
      <c r="O34" s="16">
        <f>'Taller Hojalatería'!G34</f>
        <v>0</v>
      </c>
      <c r="P34" s="16">
        <f>'Taller Ajuste Mecánico'!G34</f>
        <v>0</v>
      </c>
      <c r="Q34" s="16">
        <f>'Taller Informática I'!G34</f>
        <v>0</v>
      </c>
      <c r="R34" s="16">
        <f>'Taller Construcciones I'!G34</f>
        <v>0</v>
      </c>
    </row>
    <row r="35" spans="1:18" x14ac:dyDescent="0.25">
      <c r="A35" s="11">
        <f>Alumnos!A33</f>
        <v>31</v>
      </c>
      <c r="B35" s="11" t="str">
        <f>_xlfn.CONCAT(Alumnos!C33:D33)</f>
        <v/>
      </c>
      <c r="C35" s="16">
        <f>Lengua!G35</f>
        <v>0</v>
      </c>
      <c r="D35" s="16">
        <f>'Lengua Extranjera'!G35</f>
        <v>0</v>
      </c>
      <c r="E35" s="16">
        <f>Geografía!G35</f>
        <v>0</v>
      </c>
      <c r="F35" s="16">
        <f>Historia!G35</f>
        <v>0</v>
      </c>
      <c r="G35" s="16">
        <f>'Formación Ética y Ciudadana'!G35</f>
        <v>0</v>
      </c>
      <c r="H35" s="16">
        <f>'Educación Física'!G35</f>
        <v>0</v>
      </c>
      <c r="I35" s="16">
        <f>'Matemática I'!G35</f>
        <v>0</v>
      </c>
      <c r="J35" s="16">
        <f>'Biología I'!G35</f>
        <v>0</v>
      </c>
      <c r="K35" s="16">
        <f>'Dibujo Técnico I'!G35</f>
        <v>0</v>
      </c>
      <c r="L35" s="16">
        <f>'Tecnología I'!G35</f>
        <v>0</v>
      </c>
      <c r="M35" s="16">
        <f>'Taller Electricidad I'!G35</f>
        <v>0</v>
      </c>
      <c r="N35" s="16">
        <f>'Taller Carpintería I'!G35</f>
        <v>0</v>
      </c>
      <c r="O35" s="16">
        <f>'Taller Hojalatería'!G35</f>
        <v>0</v>
      </c>
      <c r="P35" s="16">
        <f>'Taller Ajuste Mecánico'!G35</f>
        <v>0</v>
      </c>
      <c r="Q35" s="16">
        <f>'Taller Informática I'!G35</f>
        <v>0</v>
      </c>
      <c r="R35" s="16">
        <f>'Taller Construcciones I'!G35</f>
        <v>0</v>
      </c>
    </row>
    <row r="36" spans="1:18" x14ac:dyDescent="0.25">
      <c r="A36" s="11">
        <f>Alumnos!A34</f>
        <v>32</v>
      </c>
      <c r="B36" s="11" t="str">
        <f>_xlfn.CONCAT(Alumnos!C34:D34)</f>
        <v/>
      </c>
      <c r="C36" s="16">
        <f>Lengua!G36</f>
        <v>0</v>
      </c>
      <c r="D36" s="16">
        <f>'Lengua Extranjera'!G36</f>
        <v>0</v>
      </c>
      <c r="E36" s="16">
        <f>Geografía!G36</f>
        <v>0</v>
      </c>
      <c r="F36" s="16">
        <f>Historia!G36</f>
        <v>0</v>
      </c>
      <c r="G36" s="16">
        <f>'Formación Ética y Ciudadana'!G36</f>
        <v>0</v>
      </c>
      <c r="H36" s="16">
        <f>'Educación Física'!G36</f>
        <v>0</v>
      </c>
      <c r="I36" s="16">
        <f>'Matemática I'!G36</f>
        <v>0</v>
      </c>
      <c r="J36" s="16">
        <f>'Biología I'!G36</f>
        <v>0</v>
      </c>
      <c r="K36" s="16">
        <f>'Dibujo Técnico I'!G36</f>
        <v>0</v>
      </c>
      <c r="L36" s="16">
        <f>'Tecnología I'!G36</f>
        <v>0</v>
      </c>
      <c r="M36" s="16">
        <f>'Taller Electricidad I'!G36</f>
        <v>0</v>
      </c>
      <c r="N36" s="16">
        <f>'Taller Carpintería I'!G36</f>
        <v>0</v>
      </c>
      <c r="O36" s="16">
        <f>'Taller Hojalatería'!G36</f>
        <v>0</v>
      </c>
      <c r="P36" s="16">
        <f>'Taller Ajuste Mecánico'!G36</f>
        <v>0</v>
      </c>
      <c r="Q36" s="16">
        <f>'Taller Informática I'!G36</f>
        <v>0</v>
      </c>
      <c r="R36" s="16">
        <f>'Taller Construcciones I'!G36</f>
        <v>0</v>
      </c>
    </row>
  </sheetData>
  <mergeCells count="2">
    <mergeCell ref="C1:R1"/>
    <mergeCell ref="C2:R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82F1A-A362-4505-A331-6AF0DDE03CD5}">
  <sheetPr codeName="Hoja19">
    <tabColor rgb="FFFF0000"/>
  </sheetPr>
  <dimension ref="A1:F34"/>
  <sheetViews>
    <sheetView showGridLines="0" workbookViewId="0">
      <selection activeCell="H20" sqref="H20"/>
    </sheetView>
  </sheetViews>
  <sheetFormatPr baseColWidth="10" defaultRowHeight="15" x14ac:dyDescent="0.25"/>
  <cols>
    <col min="1" max="1" width="7.85546875" style="13" bestFit="1" customWidth="1"/>
    <col min="2" max="2" width="12.42578125" style="13" bestFit="1" customWidth="1"/>
    <col min="3" max="3" width="21.85546875" style="13" bestFit="1" customWidth="1"/>
    <col min="4" max="5" width="24.140625" style="13" bestFit="1" customWidth="1"/>
    <col min="6" max="16384" width="11.42578125" style="13"/>
  </cols>
  <sheetData>
    <row r="1" spans="1:6" s="15" customFormat="1" x14ac:dyDescent="0.25">
      <c r="A1" s="12" t="s">
        <v>29</v>
      </c>
      <c r="B1" s="12" t="s">
        <v>30</v>
      </c>
      <c r="C1" s="12" t="s">
        <v>40</v>
      </c>
      <c r="D1" s="30" t="s">
        <v>43</v>
      </c>
      <c r="E1" s="32"/>
    </row>
    <row r="2" spans="1:6" x14ac:dyDescent="0.25">
      <c r="A2" s="12" t="s">
        <v>24</v>
      </c>
      <c r="B2" s="12" t="s">
        <v>17</v>
      </c>
      <c r="C2" s="12" t="s">
        <v>37</v>
      </c>
      <c r="D2" s="12" t="s">
        <v>80</v>
      </c>
      <c r="E2" s="12" t="s">
        <v>79</v>
      </c>
      <c r="F2" s="15"/>
    </row>
    <row r="3" spans="1:6" x14ac:dyDescent="0.25">
      <c r="A3" s="11">
        <v>1</v>
      </c>
      <c r="B3" s="14">
        <v>50208587</v>
      </c>
      <c r="C3" s="14" t="s">
        <v>52</v>
      </c>
      <c r="D3" s="14" t="s">
        <v>81</v>
      </c>
      <c r="E3" s="14">
        <v>40314</v>
      </c>
    </row>
    <row r="4" spans="1:6" x14ac:dyDescent="0.25">
      <c r="A4" s="11">
        <v>2</v>
      </c>
      <c r="B4" s="14">
        <v>51083327</v>
      </c>
      <c r="C4" s="14" t="s">
        <v>53</v>
      </c>
      <c r="D4" s="14" t="s">
        <v>82</v>
      </c>
      <c r="E4" s="14">
        <v>40659</v>
      </c>
    </row>
    <row r="5" spans="1:6" x14ac:dyDescent="0.25">
      <c r="A5" s="11">
        <v>3</v>
      </c>
      <c r="B5" s="14">
        <v>50571902</v>
      </c>
      <c r="C5" s="14" t="s">
        <v>54</v>
      </c>
      <c r="D5" s="14" t="s">
        <v>83</v>
      </c>
      <c r="E5" s="14">
        <v>40427</v>
      </c>
    </row>
    <row r="6" spans="1:6" x14ac:dyDescent="0.25">
      <c r="A6" s="11">
        <v>4</v>
      </c>
      <c r="B6" s="14">
        <v>50429755</v>
      </c>
      <c r="C6" s="14" t="s">
        <v>55</v>
      </c>
      <c r="D6" s="14" t="s">
        <v>84</v>
      </c>
      <c r="E6" s="14">
        <v>40372</v>
      </c>
    </row>
    <row r="7" spans="1:6" x14ac:dyDescent="0.25">
      <c r="A7" s="11">
        <v>5</v>
      </c>
      <c r="B7" s="14">
        <v>51212072</v>
      </c>
      <c r="C7" s="14" t="s">
        <v>55</v>
      </c>
      <c r="D7" s="14" t="s">
        <v>85</v>
      </c>
      <c r="E7" s="14">
        <v>40723</v>
      </c>
    </row>
    <row r="8" spans="1:6" x14ac:dyDescent="0.25">
      <c r="A8" s="11">
        <v>6</v>
      </c>
      <c r="B8" s="14">
        <v>50819006</v>
      </c>
      <c r="C8" s="14" t="s">
        <v>56</v>
      </c>
      <c r="D8" s="14" t="s">
        <v>86</v>
      </c>
      <c r="E8" s="14">
        <v>40596</v>
      </c>
    </row>
    <row r="9" spans="1:6" x14ac:dyDescent="0.25">
      <c r="A9" s="11">
        <v>7</v>
      </c>
      <c r="B9" s="14">
        <v>50660891</v>
      </c>
      <c r="C9" s="14" t="s">
        <v>57</v>
      </c>
      <c r="D9" s="14" t="s">
        <v>87</v>
      </c>
      <c r="E9" s="14">
        <v>40534</v>
      </c>
    </row>
    <row r="10" spans="1:6" x14ac:dyDescent="0.25">
      <c r="A10" s="11">
        <v>8</v>
      </c>
      <c r="B10" s="14">
        <v>50570027</v>
      </c>
      <c r="C10" s="14" t="s">
        <v>58</v>
      </c>
      <c r="D10" s="14" t="s">
        <v>88</v>
      </c>
      <c r="E10" s="14">
        <v>40585</v>
      </c>
    </row>
    <row r="11" spans="1:6" x14ac:dyDescent="0.25">
      <c r="A11" s="11">
        <v>9</v>
      </c>
      <c r="B11" s="14">
        <v>50429726</v>
      </c>
      <c r="C11" s="14" t="s">
        <v>59</v>
      </c>
      <c r="D11" s="14" t="s">
        <v>89</v>
      </c>
      <c r="E11" s="14">
        <v>40388</v>
      </c>
    </row>
    <row r="12" spans="1:6" x14ac:dyDescent="0.25">
      <c r="A12" s="11">
        <v>10</v>
      </c>
      <c r="B12" s="14">
        <v>50943478</v>
      </c>
      <c r="C12" s="14" t="s">
        <v>60</v>
      </c>
      <c r="D12" s="14" t="s">
        <v>90</v>
      </c>
      <c r="E12" s="14">
        <v>40634</v>
      </c>
    </row>
    <row r="13" spans="1:6" x14ac:dyDescent="0.25">
      <c r="A13" s="11">
        <v>11</v>
      </c>
      <c r="B13" s="14">
        <v>51076840</v>
      </c>
      <c r="C13" s="14" t="s">
        <v>61</v>
      </c>
      <c r="D13" s="14" t="s">
        <v>91</v>
      </c>
      <c r="E13" s="14">
        <v>40652</v>
      </c>
    </row>
    <row r="14" spans="1:6" x14ac:dyDescent="0.25">
      <c r="A14" s="11">
        <v>12</v>
      </c>
      <c r="B14" s="14">
        <v>50660089</v>
      </c>
      <c r="C14" s="14" t="s">
        <v>62</v>
      </c>
      <c r="D14" s="14" t="s">
        <v>92</v>
      </c>
      <c r="E14" s="14">
        <v>40472</v>
      </c>
    </row>
    <row r="15" spans="1:6" x14ac:dyDescent="0.25">
      <c r="A15" s="11">
        <v>13</v>
      </c>
      <c r="B15" s="14">
        <v>51076678</v>
      </c>
      <c r="C15" s="14" t="s">
        <v>39</v>
      </c>
      <c r="D15" s="14" t="s">
        <v>93</v>
      </c>
      <c r="E15" s="14">
        <v>40670</v>
      </c>
    </row>
    <row r="16" spans="1:6" x14ac:dyDescent="0.25">
      <c r="A16" s="11">
        <v>14</v>
      </c>
      <c r="B16" s="14">
        <v>50660164</v>
      </c>
      <c r="C16" s="14" t="s">
        <v>63</v>
      </c>
      <c r="D16" s="14" t="s">
        <v>94</v>
      </c>
      <c r="E16" s="14">
        <v>40490</v>
      </c>
    </row>
    <row r="17" spans="1:5" x14ac:dyDescent="0.25">
      <c r="A17" s="11">
        <v>15</v>
      </c>
      <c r="B17" s="14">
        <v>51212013</v>
      </c>
      <c r="C17" s="14" t="s">
        <v>64</v>
      </c>
      <c r="D17" s="14" t="s">
        <v>95</v>
      </c>
      <c r="E17" s="14">
        <v>40665</v>
      </c>
    </row>
    <row r="18" spans="1:5" x14ac:dyDescent="0.25">
      <c r="A18" s="11">
        <v>16</v>
      </c>
      <c r="B18" s="14">
        <v>51076876</v>
      </c>
      <c r="C18" s="14" t="s">
        <v>65</v>
      </c>
      <c r="D18" s="14" t="s">
        <v>96</v>
      </c>
      <c r="E18" s="14">
        <v>40673</v>
      </c>
    </row>
    <row r="19" spans="1:5" x14ac:dyDescent="0.25">
      <c r="A19" s="11">
        <v>17</v>
      </c>
      <c r="B19" s="14">
        <v>50816841</v>
      </c>
      <c r="C19" s="14" t="s">
        <v>66</v>
      </c>
      <c r="D19" s="14" t="s">
        <v>97</v>
      </c>
      <c r="E19" s="14">
        <v>40541</v>
      </c>
    </row>
    <row r="20" spans="1:5" x14ac:dyDescent="0.25">
      <c r="A20" s="11">
        <v>18</v>
      </c>
      <c r="B20" s="14">
        <v>51115833</v>
      </c>
      <c r="C20" s="14" t="s">
        <v>67</v>
      </c>
      <c r="D20" s="14" t="s">
        <v>98</v>
      </c>
      <c r="E20" s="14">
        <v>40697</v>
      </c>
    </row>
    <row r="21" spans="1:5" x14ac:dyDescent="0.25">
      <c r="A21" s="11">
        <v>19</v>
      </c>
      <c r="B21" s="14">
        <v>50886081</v>
      </c>
      <c r="C21" s="14" t="s">
        <v>68</v>
      </c>
      <c r="D21" s="14" t="s">
        <v>99</v>
      </c>
      <c r="E21" s="14">
        <v>40587</v>
      </c>
    </row>
    <row r="22" spans="1:5" x14ac:dyDescent="0.25">
      <c r="A22" s="11">
        <v>20</v>
      </c>
      <c r="B22" s="14">
        <v>50571924</v>
      </c>
      <c r="C22" s="14" t="s">
        <v>38</v>
      </c>
      <c r="D22" s="14" t="s">
        <v>100</v>
      </c>
      <c r="E22" s="14">
        <v>40434</v>
      </c>
    </row>
    <row r="23" spans="1:5" x14ac:dyDescent="0.25">
      <c r="A23" s="11">
        <v>21</v>
      </c>
      <c r="B23" s="14">
        <v>50816863</v>
      </c>
      <c r="C23" s="14" t="s">
        <v>69</v>
      </c>
      <c r="D23" s="14" t="s">
        <v>101</v>
      </c>
      <c r="E23" s="14">
        <v>40570</v>
      </c>
    </row>
    <row r="24" spans="1:5" x14ac:dyDescent="0.25">
      <c r="A24" s="11">
        <v>22</v>
      </c>
      <c r="B24" s="14">
        <v>50345693</v>
      </c>
      <c r="C24" s="14" t="s">
        <v>70</v>
      </c>
      <c r="D24" s="14" t="s">
        <v>102</v>
      </c>
      <c r="E24" s="14">
        <v>40373</v>
      </c>
    </row>
    <row r="25" spans="1:5" x14ac:dyDescent="0.25">
      <c r="A25" s="11">
        <v>23</v>
      </c>
      <c r="B25" s="14">
        <v>50207339</v>
      </c>
      <c r="C25" s="14" t="s">
        <v>71</v>
      </c>
      <c r="D25" s="14" t="s">
        <v>103</v>
      </c>
      <c r="E25" s="14">
        <v>40496</v>
      </c>
    </row>
    <row r="26" spans="1:5" x14ac:dyDescent="0.25">
      <c r="A26" s="11">
        <v>24</v>
      </c>
      <c r="B26" s="14">
        <v>50571998</v>
      </c>
      <c r="C26" s="14" t="s">
        <v>72</v>
      </c>
      <c r="D26" s="14" t="s">
        <v>104</v>
      </c>
      <c r="E26" s="14">
        <v>40469</v>
      </c>
    </row>
    <row r="27" spans="1:5" x14ac:dyDescent="0.25">
      <c r="A27" s="11">
        <v>25</v>
      </c>
      <c r="B27" s="14">
        <v>50282436</v>
      </c>
      <c r="C27" s="14" t="s">
        <v>73</v>
      </c>
      <c r="D27" s="14" t="s">
        <v>105</v>
      </c>
      <c r="E27" s="14">
        <v>40431</v>
      </c>
    </row>
    <row r="28" spans="1:5" x14ac:dyDescent="0.25">
      <c r="A28" s="11">
        <v>26</v>
      </c>
      <c r="B28" s="14">
        <v>50819011</v>
      </c>
      <c r="C28" s="14" t="s">
        <v>74</v>
      </c>
      <c r="D28" s="14" t="s">
        <v>106</v>
      </c>
      <c r="E28" s="14">
        <v>40597</v>
      </c>
    </row>
    <row r="29" spans="1:5" x14ac:dyDescent="0.25">
      <c r="A29" s="11">
        <v>27</v>
      </c>
      <c r="B29" s="14">
        <v>51212044</v>
      </c>
      <c r="C29" s="14" t="s">
        <v>75</v>
      </c>
      <c r="D29" s="14" t="s">
        <v>76</v>
      </c>
      <c r="E29" s="14">
        <v>40724</v>
      </c>
    </row>
    <row r="30" spans="1:5" x14ac:dyDescent="0.25">
      <c r="A30" s="11">
        <v>28</v>
      </c>
      <c r="B30" s="14">
        <v>51076602</v>
      </c>
      <c r="C30" s="14" t="s">
        <v>77</v>
      </c>
      <c r="D30" s="14" t="s">
        <v>107</v>
      </c>
      <c r="E30" s="14">
        <v>40624</v>
      </c>
    </row>
    <row r="31" spans="1:5" x14ac:dyDescent="0.25">
      <c r="A31" s="11">
        <v>29</v>
      </c>
      <c r="B31" s="14">
        <v>50660816</v>
      </c>
      <c r="C31" s="14" t="s">
        <v>78</v>
      </c>
      <c r="D31" s="14" t="s">
        <v>108</v>
      </c>
      <c r="E31" s="14">
        <v>40492</v>
      </c>
    </row>
    <row r="32" spans="1:5" x14ac:dyDescent="0.25">
      <c r="A32" s="11">
        <v>30</v>
      </c>
      <c r="B32" s="14"/>
      <c r="C32" s="14"/>
      <c r="D32" s="14"/>
      <c r="E32" s="14"/>
    </row>
    <row r="33" spans="1:5" x14ac:dyDescent="0.25">
      <c r="A33" s="11">
        <v>31</v>
      </c>
      <c r="B33" s="14"/>
      <c r="C33" s="14"/>
      <c r="D33" s="14"/>
      <c r="E33" s="14"/>
    </row>
    <row r="34" spans="1:5" x14ac:dyDescent="0.25">
      <c r="A34" s="11">
        <v>32</v>
      </c>
      <c r="B34" s="14"/>
      <c r="C34" s="14"/>
      <c r="D34" s="14"/>
      <c r="E34" s="14"/>
    </row>
  </sheetData>
  <mergeCells count="1">
    <mergeCell ref="D1:E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DC03B-631B-469A-917B-5B6BC5EBFA87}">
  <sheetPr codeName="Hoja18">
    <tabColor rgb="FFFF0000"/>
  </sheetPr>
  <dimension ref="A1:D17"/>
  <sheetViews>
    <sheetView showGridLines="0" workbookViewId="0">
      <selection activeCell="H20" sqref="H20"/>
    </sheetView>
  </sheetViews>
  <sheetFormatPr baseColWidth="10" defaultRowHeight="15" x14ac:dyDescent="0.25"/>
  <cols>
    <col min="1" max="1" width="3.28515625" style="22" bestFit="1" customWidth="1"/>
    <col min="2" max="2" width="32.42578125" style="2" bestFit="1" customWidth="1"/>
    <col min="3" max="3" width="11.42578125" style="1"/>
    <col min="4" max="4" width="35.85546875" style="1" bestFit="1" customWidth="1"/>
    <col min="5" max="16384" width="11.42578125" style="1"/>
  </cols>
  <sheetData>
    <row r="1" spans="1:4" s="3" customFormat="1" x14ac:dyDescent="0.25">
      <c r="A1" s="20" t="s">
        <v>24</v>
      </c>
      <c r="B1" s="18" t="s">
        <v>16</v>
      </c>
      <c r="D1" s="1"/>
    </row>
    <row r="2" spans="1:4" x14ac:dyDescent="0.25">
      <c r="A2" s="21">
        <v>16</v>
      </c>
      <c r="B2" s="19" t="s">
        <v>15</v>
      </c>
    </row>
    <row r="3" spans="1:4" x14ac:dyDescent="0.25">
      <c r="A3" s="21">
        <v>15</v>
      </c>
      <c r="B3" s="19" t="s">
        <v>14</v>
      </c>
    </row>
    <row r="4" spans="1:4" x14ac:dyDescent="0.25">
      <c r="A4" s="21">
        <v>14</v>
      </c>
      <c r="B4" s="19" t="s">
        <v>13</v>
      </c>
    </row>
    <row r="5" spans="1:4" x14ac:dyDescent="0.25">
      <c r="A5" s="21">
        <v>13</v>
      </c>
      <c r="B5" s="19" t="s">
        <v>12</v>
      </c>
    </row>
    <row r="6" spans="1:4" x14ac:dyDescent="0.25">
      <c r="A6" s="21">
        <v>12</v>
      </c>
      <c r="B6" s="19" t="s">
        <v>11</v>
      </c>
    </row>
    <row r="7" spans="1:4" x14ac:dyDescent="0.25">
      <c r="A7" s="21">
        <v>11</v>
      </c>
      <c r="B7" s="19" t="s">
        <v>10</v>
      </c>
    </row>
    <row r="8" spans="1:4" x14ac:dyDescent="0.25">
      <c r="A8" s="21">
        <v>10</v>
      </c>
      <c r="B8" s="19" t="s">
        <v>9</v>
      </c>
    </row>
    <row r="9" spans="1:4" x14ac:dyDescent="0.25">
      <c r="A9" s="21">
        <v>9</v>
      </c>
      <c r="B9" s="19" t="s">
        <v>8</v>
      </c>
    </row>
    <row r="10" spans="1:4" x14ac:dyDescent="0.25">
      <c r="A10" s="21">
        <v>8</v>
      </c>
      <c r="B10" s="19" t="s">
        <v>7</v>
      </c>
    </row>
    <row r="11" spans="1:4" x14ac:dyDescent="0.25">
      <c r="A11" s="21">
        <v>7</v>
      </c>
      <c r="B11" s="19" t="s">
        <v>6</v>
      </c>
    </row>
    <row r="12" spans="1:4" x14ac:dyDescent="0.25">
      <c r="A12" s="21">
        <v>6</v>
      </c>
      <c r="B12" s="19" t="s">
        <v>5</v>
      </c>
    </row>
    <row r="13" spans="1:4" x14ac:dyDescent="0.25">
      <c r="A13" s="21">
        <v>5</v>
      </c>
      <c r="B13" s="19" t="s">
        <v>4</v>
      </c>
    </row>
    <row r="14" spans="1:4" x14ac:dyDescent="0.25">
      <c r="A14" s="21">
        <v>4</v>
      </c>
      <c r="B14" s="19" t="s">
        <v>3</v>
      </c>
    </row>
    <row r="15" spans="1:4" x14ac:dyDescent="0.25">
      <c r="A15" s="21">
        <v>3</v>
      </c>
      <c r="B15" s="19" t="s">
        <v>2</v>
      </c>
    </row>
    <row r="16" spans="1:4" x14ac:dyDescent="0.25">
      <c r="A16" s="21">
        <v>2</v>
      </c>
      <c r="B16" s="19" t="s">
        <v>1</v>
      </c>
    </row>
    <row r="17" spans="1:2" x14ac:dyDescent="0.25">
      <c r="A17" s="21">
        <v>1</v>
      </c>
      <c r="B17" s="19" t="s">
        <v>0</v>
      </c>
    </row>
  </sheetData>
  <sortState xmlns:xlrd2="http://schemas.microsoft.com/office/spreadsheetml/2017/richdata2" ref="D18:D33">
    <sortCondition descending="1" ref="D18:D3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F4F6E-68C3-4FBE-A9E0-483E6AE0B954}">
  <sheetPr codeName="Hoja17"/>
  <dimension ref="A1:W36"/>
  <sheetViews>
    <sheetView showGridLines="0" workbookViewId="0">
      <selection activeCell="B39" sqref="B39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26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27</v>
      </c>
      <c r="B2" s="29"/>
      <c r="C2" s="29" t="s">
        <v>28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35</v>
      </c>
      <c r="R2" s="10">
        <v>2024</v>
      </c>
      <c r="S2" s="8" t="s">
        <v>36</v>
      </c>
      <c r="T2" s="29" t="str">
        <f>Alumnos!D1</f>
        <v>Pinino</v>
      </c>
      <c r="U2" s="29"/>
      <c r="V2" s="29"/>
      <c r="W2" s="29"/>
    </row>
    <row r="3" spans="1:23" x14ac:dyDescent="0.25">
      <c r="A3" s="5" t="s">
        <v>29</v>
      </c>
      <c r="B3" s="10" t="str">
        <f>Alumnos!B1</f>
        <v>1-A</v>
      </c>
      <c r="C3" s="29" t="s">
        <v>34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tr">
        <f>Materias!B2</f>
        <v>Taller Construcciones I</v>
      </c>
      <c r="R3" s="33"/>
      <c r="S3" s="33"/>
      <c r="T3" s="33"/>
      <c r="U3" s="33"/>
      <c r="V3" s="33"/>
      <c r="W3" s="33"/>
    </row>
    <row r="4" spans="1:23" s="4" customFormat="1" x14ac:dyDescent="0.25">
      <c r="A4" s="5" t="s">
        <v>18</v>
      </c>
      <c r="B4" s="12" t="s">
        <v>19</v>
      </c>
      <c r="C4" s="29" t="s">
        <v>31</v>
      </c>
      <c r="D4" s="29"/>
      <c r="E4" s="29"/>
      <c r="F4" s="29"/>
      <c r="G4" s="5" t="s">
        <v>20</v>
      </c>
      <c r="H4" s="29" t="s">
        <v>32</v>
      </c>
      <c r="I4" s="29"/>
      <c r="J4" s="29"/>
      <c r="K4" s="29"/>
      <c r="L4" s="5" t="s">
        <v>20</v>
      </c>
      <c r="M4" s="29" t="s">
        <v>33</v>
      </c>
      <c r="N4" s="29"/>
      <c r="O4" s="29"/>
      <c r="P4" s="29"/>
      <c r="Q4" s="5" t="s">
        <v>20</v>
      </c>
      <c r="R4" s="5" t="s">
        <v>25</v>
      </c>
      <c r="S4" s="5" t="s">
        <v>21</v>
      </c>
      <c r="T4" s="5" t="s">
        <v>22</v>
      </c>
      <c r="U4" s="5" t="s">
        <v>41</v>
      </c>
      <c r="V4" s="5" t="s">
        <v>42</v>
      </c>
      <c r="W4" s="5" t="s">
        <v>23</v>
      </c>
    </row>
    <row r="5" spans="1:23" x14ac:dyDescent="0.25">
      <c r="A5" s="6">
        <f>Alumnos!A3</f>
        <v>1</v>
      </c>
      <c r="B5" s="11" t="str">
        <f>_xlfn.CONCAT(Alumnos!C3,Alumnos!D3)</f>
        <v>ARCE TIAGO ARIEL</v>
      </c>
      <c r="C5" s="6">
        <v>0</v>
      </c>
      <c r="D5" s="6">
        <v>0</v>
      </c>
      <c r="E5" s="6">
        <v>0</v>
      </c>
      <c r="F5" s="6">
        <v>0</v>
      </c>
      <c r="G5" s="5">
        <f>SUM(C5:F5)/4</f>
        <v>0</v>
      </c>
      <c r="H5" s="10">
        <v>0</v>
      </c>
      <c r="I5" s="10">
        <v>0</v>
      </c>
      <c r="J5" s="10">
        <v>0</v>
      </c>
      <c r="K5" s="10">
        <v>0</v>
      </c>
      <c r="L5" s="5">
        <f>SUM(H5:K5)/4</f>
        <v>0</v>
      </c>
      <c r="M5" s="10">
        <v>0</v>
      </c>
      <c r="N5" s="10">
        <v>0</v>
      </c>
      <c r="O5" s="10">
        <v>0</v>
      </c>
      <c r="P5" s="10">
        <v>0</v>
      </c>
      <c r="Q5" s="5">
        <f>SUM(M5:P5)/4</f>
        <v>0</v>
      </c>
      <c r="R5" s="6" t="str">
        <f>IF(AND(G5&gt;=6,L5&gt;=6,Q5&gt;=6),TRUNC(SUM(G5,L5,Q5)/3,2),"5,99")</f>
        <v>5,99</v>
      </c>
      <c r="S5" s="6">
        <v>0</v>
      </c>
      <c r="T5" s="6">
        <v>0</v>
      </c>
      <c r="U5" s="6">
        <f>IF(S5&gt;=6,S5,T5)</f>
        <v>0</v>
      </c>
      <c r="V5" s="6">
        <f>IF(S5&gt;=6,S5,T5)</f>
        <v>0</v>
      </c>
      <c r="W5" s="10">
        <f>IF(Q5&gt;=6,Q5,V5)</f>
        <v>0</v>
      </c>
    </row>
    <row r="6" spans="1:23" x14ac:dyDescent="0.25">
      <c r="A6" s="6">
        <f>Alumnos!A4</f>
        <v>2</v>
      </c>
      <c r="B6" s="11" t="str">
        <f>_xlfn.CONCAT(Alumnos!C4,Alumnos!D4)</f>
        <v>AYALA CRISTIAN ORLANDO</v>
      </c>
      <c r="C6" s="10">
        <v>0</v>
      </c>
      <c r="D6" s="10">
        <v>0</v>
      </c>
      <c r="E6" s="10">
        <v>0</v>
      </c>
      <c r="F6" s="10">
        <v>0</v>
      </c>
      <c r="G6" s="5">
        <f t="shared" ref="G6:G36" si="0">SUM(C6:F6)/4</f>
        <v>0</v>
      </c>
      <c r="H6" s="10">
        <v>0</v>
      </c>
      <c r="I6" s="10">
        <v>0</v>
      </c>
      <c r="J6" s="10">
        <v>0</v>
      </c>
      <c r="K6" s="10">
        <v>0</v>
      </c>
      <c r="L6" s="5">
        <f t="shared" ref="L6:L36" si="1">SUM(H6:K6)/4</f>
        <v>0</v>
      </c>
      <c r="M6" s="10">
        <v>0</v>
      </c>
      <c r="N6" s="10">
        <v>0</v>
      </c>
      <c r="O6" s="10">
        <v>0</v>
      </c>
      <c r="P6" s="10">
        <v>0</v>
      </c>
      <c r="Q6" s="5">
        <f t="shared" ref="Q6:Q36" si="2">SUM(M6:P6)/4</f>
        <v>0</v>
      </c>
      <c r="R6" s="6" t="str">
        <f t="shared" ref="R6:R36" si="3">IF(AND(G6&gt;=6,L6&gt;=6,Q6&gt;=6),TRUNC(SUM(G6,L6,Q6)/3,2),"5,99")</f>
        <v>5,99</v>
      </c>
      <c r="S6" s="10">
        <v>0</v>
      </c>
      <c r="T6" s="10">
        <v>0</v>
      </c>
      <c r="U6" s="10">
        <f t="shared" ref="U6:U36" si="4">IF(S6&gt;=6,S6,T6)</f>
        <v>0</v>
      </c>
      <c r="V6" s="10">
        <f t="shared" ref="V6:W36" si="5">IF(S6&gt;=6,S6,T6)</f>
        <v>0</v>
      </c>
      <c r="W6" s="10">
        <f t="shared" si="5"/>
        <v>0</v>
      </c>
    </row>
    <row r="7" spans="1:23" x14ac:dyDescent="0.25">
      <c r="A7" s="6">
        <f>Alumnos!A5</f>
        <v>3</v>
      </c>
      <c r="B7" s="11" t="str">
        <f>_xlfn.CONCAT(Alumnos!C5,Alumnos!D5)</f>
        <v>BOGADO JONAS NATANIEL</v>
      </c>
      <c r="C7" s="10">
        <v>0</v>
      </c>
      <c r="D7" s="10">
        <v>0</v>
      </c>
      <c r="E7" s="10">
        <v>0</v>
      </c>
      <c r="F7" s="10">
        <v>0</v>
      </c>
      <c r="G7" s="5">
        <f t="shared" si="0"/>
        <v>0</v>
      </c>
      <c r="H7" s="10">
        <v>0</v>
      </c>
      <c r="I7" s="10">
        <v>0</v>
      </c>
      <c r="J7" s="10">
        <v>0</v>
      </c>
      <c r="K7" s="10">
        <v>0</v>
      </c>
      <c r="L7" s="5">
        <f t="shared" si="1"/>
        <v>0</v>
      </c>
      <c r="M7" s="10">
        <v>0</v>
      </c>
      <c r="N7" s="10">
        <v>0</v>
      </c>
      <c r="O7" s="10">
        <v>0</v>
      </c>
      <c r="P7" s="10">
        <v>0</v>
      </c>
      <c r="Q7" s="5">
        <f t="shared" si="2"/>
        <v>0</v>
      </c>
      <c r="R7" s="6" t="str">
        <f t="shared" si="3"/>
        <v>5,99</v>
      </c>
      <c r="S7" s="10">
        <v>0</v>
      </c>
      <c r="T7" s="10">
        <v>0</v>
      </c>
      <c r="U7" s="10">
        <f t="shared" si="4"/>
        <v>0</v>
      </c>
      <c r="V7" s="10">
        <f t="shared" si="5"/>
        <v>0</v>
      </c>
      <c r="W7" s="10">
        <f t="shared" si="5"/>
        <v>0</v>
      </c>
    </row>
    <row r="8" spans="1:23" x14ac:dyDescent="0.25">
      <c r="A8" s="6">
        <f>Alumnos!A6</f>
        <v>4</v>
      </c>
      <c r="B8" s="11" t="str">
        <f>_xlfn.CONCAT(Alumnos!C6,Alumnos!D6)</f>
        <v>BREZ PROCOPIO ANYELINA</v>
      </c>
      <c r="C8" s="10">
        <v>0</v>
      </c>
      <c r="D8" s="10">
        <v>0</v>
      </c>
      <c r="E8" s="10">
        <v>0</v>
      </c>
      <c r="F8" s="10">
        <v>0</v>
      </c>
      <c r="G8" s="5">
        <f t="shared" si="0"/>
        <v>0</v>
      </c>
      <c r="H8" s="10">
        <v>0</v>
      </c>
      <c r="I8" s="10">
        <v>0</v>
      </c>
      <c r="J8" s="10">
        <v>0</v>
      </c>
      <c r="K8" s="10">
        <v>0</v>
      </c>
      <c r="L8" s="5">
        <f t="shared" si="1"/>
        <v>0</v>
      </c>
      <c r="M8" s="10">
        <v>0</v>
      </c>
      <c r="N8" s="10">
        <v>0</v>
      </c>
      <c r="O8" s="10">
        <v>0</v>
      </c>
      <c r="P8" s="10">
        <v>0</v>
      </c>
      <c r="Q8" s="5">
        <f t="shared" si="2"/>
        <v>0</v>
      </c>
      <c r="R8" s="6" t="str">
        <f t="shared" si="3"/>
        <v>5,99</v>
      </c>
      <c r="S8" s="10">
        <v>0</v>
      </c>
      <c r="T8" s="10">
        <v>0</v>
      </c>
      <c r="U8" s="10">
        <f t="shared" si="4"/>
        <v>0</v>
      </c>
      <c r="V8" s="10">
        <f t="shared" si="5"/>
        <v>0</v>
      </c>
      <c r="W8" s="10">
        <f t="shared" si="5"/>
        <v>0</v>
      </c>
    </row>
    <row r="9" spans="1:23" x14ac:dyDescent="0.25">
      <c r="A9" s="6">
        <f>Alumnos!A7</f>
        <v>5</v>
      </c>
      <c r="B9" s="11" t="str">
        <f>_xlfn.CONCAT(Alumnos!C7,Alumnos!D7)</f>
        <v>BREZ PROCOPIO BRENDA</v>
      </c>
      <c r="C9" s="10">
        <v>0</v>
      </c>
      <c r="D9" s="10">
        <v>0</v>
      </c>
      <c r="E9" s="10">
        <v>0</v>
      </c>
      <c r="F9" s="10">
        <v>0</v>
      </c>
      <c r="G9" s="5">
        <f t="shared" si="0"/>
        <v>0</v>
      </c>
      <c r="H9" s="10">
        <v>0</v>
      </c>
      <c r="I9" s="10">
        <v>0</v>
      </c>
      <c r="J9" s="10">
        <v>0</v>
      </c>
      <c r="K9" s="10">
        <v>0</v>
      </c>
      <c r="L9" s="5">
        <f t="shared" si="1"/>
        <v>0</v>
      </c>
      <c r="M9" s="10">
        <v>0</v>
      </c>
      <c r="N9" s="10">
        <v>0</v>
      </c>
      <c r="O9" s="10">
        <v>0</v>
      </c>
      <c r="P9" s="10">
        <v>0</v>
      </c>
      <c r="Q9" s="5">
        <f t="shared" si="2"/>
        <v>0</v>
      </c>
      <c r="R9" s="6" t="str">
        <f t="shared" si="3"/>
        <v>5,99</v>
      </c>
      <c r="S9" s="10">
        <v>0</v>
      </c>
      <c r="T9" s="10">
        <v>0</v>
      </c>
      <c r="U9" s="10">
        <f t="shared" si="4"/>
        <v>0</v>
      </c>
      <c r="V9" s="10">
        <f t="shared" si="5"/>
        <v>0</v>
      </c>
      <c r="W9" s="10">
        <f t="shared" si="5"/>
        <v>0</v>
      </c>
    </row>
    <row r="10" spans="1:23" x14ac:dyDescent="0.25">
      <c r="A10" s="6">
        <f>Alumnos!A8</f>
        <v>6</v>
      </c>
      <c r="B10" s="11" t="str">
        <f>_xlfn.CONCAT(Alumnos!C8,Alumnos!D8)</f>
        <v>BRITEZ NAHIARA ANALIA</v>
      </c>
      <c r="C10" s="10">
        <v>0</v>
      </c>
      <c r="D10" s="10">
        <v>0</v>
      </c>
      <c r="E10" s="10">
        <v>0</v>
      </c>
      <c r="F10" s="10">
        <v>0</v>
      </c>
      <c r="G10" s="5">
        <f t="shared" si="0"/>
        <v>0</v>
      </c>
      <c r="H10" s="10">
        <v>0</v>
      </c>
      <c r="I10" s="10">
        <v>0</v>
      </c>
      <c r="J10" s="10">
        <v>0</v>
      </c>
      <c r="K10" s="10">
        <v>0</v>
      </c>
      <c r="L10" s="5">
        <f t="shared" si="1"/>
        <v>0</v>
      </c>
      <c r="M10" s="10">
        <v>0</v>
      </c>
      <c r="N10" s="10">
        <v>0</v>
      </c>
      <c r="O10" s="10">
        <v>0</v>
      </c>
      <c r="P10" s="10">
        <v>0</v>
      </c>
      <c r="Q10" s="5">
        <f t="shared" si="2"/>
        <v>0</v>
      </c>
      <c r="R10" s="6" t="str">
        <f t="shared" si="3"/>
        <v>5,99</v>
      </c>
      <c r="S10" s="10">
        <v>0</v>
      </c>
      <c r="T10" s="10">
        <v>0</v>
      </c>
      <c r="U10" s="10">
        <f t="shared" si="4"/>
        <v>0</v>
      </c>
      <c r="V10" s="10">
        <f t="shared" si="5"/>
        <v>0</v>
      </c>
      <c r="W10" s="10">
        <f t="shared" si="5"/>
        <v>0</v>
      </c>
    </row>
    <row r="11" spans="1:23" x14ac:dyDescent="0.25">
      <c r="A11" s="6">
        <f>Alumnos!A9</f>
        <v>7</v>
      </c>
      <c r="B11" s="11" t="str">
        <f>_xlfn.CONCAT(Alumnos!C9,Alumnos!D9)</f>
        <v>CACERES SOFIA MARIEL</v>
      </c>
      <c r="C11" s="10">
        <v>0</v>
      </c>
      <c r="D11" s="10">
        <v>0</v>
      </c>
      <c r="E11" s="10">
        <v>0</v>
      </c>
      <c r="F11" s="10">
        <v>0</v>
      </c>
      <c r="G11" s="5">
        <f t="shared" si="0"/>
        <v>0</v>
      </c>
      <c r="H11" s="10">
        <v>0</v>
      </c>
      <c r="I11" s="10">
        <v>0</v>
      </c>
      <c r="J11" s="10">
        <v>0</v>
      </c>
      <c r="K11" s="10">
        <v>0</v>
      </c>
      <c r="L11" s="5">
        <f t="shared" si="1"/>
        <v>0</v>
      </c>
      <c r="M11" s="10">
        <v>0</v>
      </c>
      <c r="N11" s="10">
        <v>0</v>
      </c>
      <c r="O11" s="10">
        <v>0</v>
      </c>
      <c r="P11" s="10">
        <v>0</v>
      </c>
      <c r="Q11" s="5">
        <f t="shared" si="2"/>
        <v>0</v>
      </c>
      <c r="R11" s="6" t="str">
        <f t="shared" si="3"/>
        <v>5,99</v>
      </c>
      <c r="S11" s="10">
        <v>0</v>
      </c>
      <c r="T11" s="10">
        <v>0</v>
      </c>
      <c r="U11" s="10">
        <f t="shared" si="4"/>
        <v>0</v>
      </c>
      <c r="V11" s="10">
        <f t="shared" si="5"/>
        <v>0</v>
      </c>
      <c r="W11" s="10">
        <f t="shared" si="5"/>
        <v>0</v>
      </c>
    </row>
    <row r="12" spans="1:23" x14ac:dyDescent="0.25">
      <c r="A12" s="6">
        <f>Alumnos!A10</f>
        <v>8</v>
      </c>
      <c r="B12" s="11" t="str">
        <f>_xlfn.CONCAT(Alumnos!C10,Alumnos!D10)</f>
        <v>CANEPPELE ELISANDRO MICAEL</v>
      </c>
      <c r="C12" s="10">
        <v>0</v>
      </c>
      <c r="D12" s="10">
        <v>0</v>
      </c>
      <c r="E12" s="10">
        <v>0</v>
      </c>
      <c r="F12" s="10">
        <v>0</v>
      </c>
      <c r="G12" s="5">
        <f t="shared" si="0"/>
        <v>0</v>
      </c>
      <c r="H12" s="10">
        <v>0</v>
      </c>
      <c r="I12" s="10">
        <v>0</v>
      </c>
      <c r="J12" s="10">
        <v>0</v>
      </c>
      <c r="K12" s="10">
        <v>0</v>
      </c>
      <c r="L12" s="5">
        <f t="shared" si="1"/>
        <v>0</v>
      </c>
      <c r="M12" s="10">
        <v>0</v>
      </c>
      <c r="N12" s="10">
        <v>0</v>
      </c>
      <c r="O12" s="10">
        <v>0</v>
      </c>
      <c r="P12" s="10">
        <v>0</v>
      </c>
      <c r="Q12" s="5">
        <f t="shared" si="2"/>
        <v>0</v>
      </c>
      <c r="R12" s="6" t="str">
        <f t="shared" si="3"/>
        <v>5,99</v>
      </c>
      <c r="S12" s="10">
        <v>0</v>
      </c>
      <c r="T12" s="10">
        <v>0</v>
      </c>
      <c r="U12" s="10">
        <f t="shared" si="4"/>
        <v>0</v>
      </c>
      <c r="V12" s="10">
        <f t="shared" si="5"/>
        <v>0</v>
      </c>
      <c r="W12" s="10">
        <f t="shared" si="5"/>
        <v>0</v>
      </c>
    </row>
    <row r="13" spans="1:23" x14ac:dyDescent="0.25">
      <c r="A13" s="6">
        <f>Alumnos!A11</f>
        <v>9</v>
      </c>
      <c r="B13" s="11" t="str">
        <f>_xlfn.CONCAT(Alumnos!C11,Alumnos!D11)</f>
        <v>CUELICHE FABRICIO TADEO</v>
      </c>
      <c r="C13" s="10">
        <v>0</v>
      </c>
      <c r="D13" s="10">
        <v>0</v>
      </c>
      <c r="E13" s="10">
        <v>0</v>
      </c>
      <c r="F13" s="10">
        <v>0</v>
      </c>
      <c r="G13" s="5">
        <f t="shared" si="0"/>
        <v>0</v>
      </c>
      <c r="H13" s="10">
        <v>0</v>
      </c>
      <c r="I13" s="10">
        <v>0</v>
      </c>
      <c r="J13" s="10">
        <v>0</v>
      </c>
      <c r="K13" s="10">
        <v>0</v>
      </c>
      <c r="L13" s="5">
        <f t="shared" si="1"/>
        <v>0</v>
      </c>
      <c r="M13" s="10">
        <v>0</v>
      </c>
      <c r="N13" s="10">
        <v>0</v>
      </c>
      <c r="O13" s="10">
        <v>0</v>
      </c>
      <c r="P13" s="10">
        <v>0</v>
      </c>
      <c r="Q13" s="5">
        <f t="shared" si="2"/>
        <v>0</v>
      </c>
      <c r="R13" s="6" t="str">
        <f t="shared" si="3"/>
        <v>5,99</v>
      </c>
      <c r="S13" s="10">
        <v>0</v>
      </c>
      <c r="T13" s="10">
        <v>0</v>
      </c>
      <c r="U13" s="10">
        <f t="shared" si="4"/>
        <v>0</v>
      </c>
      <c r="V13" s="10">
        <f t="shared" si="5"/>
        <v>0</v>
      </c>
      <c r="W13" s="10">
        <f t="shared" si="5"/>
        <v>0</v>
      </c>
    </row>
    <row r="14" spans="1:23" x14ac:dyDescent="0.25">
      <c r="A14" s="6">
        <f>Alumnos!A12</f>
        <v>10</v>
      </c>
      <c r="B14" s="11" t="str">
        <f>_xlfn.CONCAT(Alumnos!C12,Alumnos!D12)</f>
        <v>DA LUZ ALEX AGUSTIN</v>
      </c>
      <c r="C14" s="10">
        <v>0</v>
      </c>
      <c r="D14" s="10">
        <v>0</v>
      </c>
      <c r="E14" s="10">
        <v>0</v>
      </c>
      <c r="F14" s="10">
        <v>0</v>
      </c>
      <c r="G14" s="5">
        <f t="shared" si="0"/>
        <v>0</v>
      </c>
      <c r="H14" s="10">
        <v>0</v>
      </c>
      <c r="I14" s="10">
        <v>0</v>
      </c>
      <c r="J14" s="10">
        <v>0</v>
      </c>
      <c r="K14" s="10">
        <v>0</v>
      </c>
      <c r="L14" s="5">
        <f t="shared" si="1"/>
        <v>0</v>
      </c>
      <c r="M14" s="10">
        <v>0</v>
      </c>
      <c r="N14" s="10">
        <v>0</v>
      </c>
      <c r="O14" s="10">
        <v>0</v>
      </c>
      <c r="P14" s="10">
        <v>0</v>
      </c>
      <c r="Q14" s="5">
        <f t="shared" si="2"/>
        <v>0</v>
      </c>
      <c r="R14" s="6" t="str">
        <f t="shared" si="3"/>
        <v>5,99</v>
      </c>
      <c r="S14" s="10">
        <v>0</v>
      </c>
      <c r="T14" s="10">
        <v>0</v>
      </c>
      <c r="U14" s="10">
        <f t="shared" si="4"/>
        <v>0</v>
      </c>
      <c r="V14" s="10">
        <f t="shared" si="5"/>
        <v>0</v>
      </c>
      <c r="W14" s="10">
        <f t="shared" si="5"/>
        <v>0</v>
      </c>
    </row>
    <row r="15" spans="1:23" x14ac:dyDescent="0.25">
      <c r="A15" s="6">
        <f>Alumnos!A13</f>
        <v>11</v>
      </c>
      <c r="B15" s="11" t="str">
        <f>_xlfn.CONCAT(Alumnos!C13,Alumnos!D13)</f>
        <v>DA SILVA RUTH ABIGAIL</v>
      </c>
      <c r="C15" s="10">
        <v>0</v>
      </c>
      <c r="D15" s="10">
        <v>0</v>
      </c>
      <c r="E15" s="10">
        <v>0</v>
      </c>
      <c r="F15" s="10">
        <v>0</v>
      </c>
      <c r="G15" s="5">
        <f t="shared" si="0"/>
        <v>0</v>
      </c>
      <c r="H15" s="10">
        <v>0</v>
      </c>
      <c r="I15" s="10">
        <v>0</v>
      </c>
      <c r="J15" s="10">
        <v>0</v>
      </c>
      <c r="K15" s="10">
        <v>0</v>
      </c>
      <c r="L15" s="5">
        <f t="shared" si="1"/>
        <v>0</v>
      </c>
      <c r="M15" s="10">
        <v>0</v>
      </c>
      <c r="N15" s="10">
        <v>0</v>
      </c>
      <c r="O15" s="10">
        <v>0</v>
      </c>
      <c r="P15" s="10">
        <v>0</v>
      </c>
      <c r="Q15" s="5">
        <f t="shared" si="2"/>
        <v>0</v>
      </c>
      <c r="R15" s="6" t="str">
        <f t="shared" si="3"/>
        <v>5,99</v>
      </c>
      <c r="S15" s="10">
        <v>0</v>
      </c>
      <c r="T15" s="10">
        <v>0</v>
      </c>
      <c r="U15" s="10">
        <f t="shared" si="4"/>
        <v>0</v>
      </c>
      <c r="V15" s="10">
        <f t="shared" si="5"/>
        <v>0</v>
      </c>
      <c r="W15" s="10">
        <f t="shared" si="5"/>
        <v>0</v>
      </c>
    </row>
    <row r="16" spans="1:23" x14ac:dyDescent="0.25">
      <c r="A16" s="6">
        <f>Alumnos!A14</f>
        <v>12</v>
      </c>
      <c r="B16" s="11" t="str">
        <f>_xlfn.CONCAT(Alumnos!C14,Alumnos!D14)</f>
        <v>DORNEL MAGALI LEONELA</v>
      </c>
      <c r="C16" s="10">
        <v>0</v>
      </c>
      <c r="D16" s="10">
        <v>0</v>
      </c>
      <c r="E16" s="10">
        <v>0</v>
      </c>
      <c r="F16" s="10">
        <v>0</v>
      </c>
      <c r="G16" s="5">
        <f t="shared" si="0"/>
        <v>0</v>
      </c>
      <c r="H16" s="10">
        <v>0</v>
      </c>
      <c r="I16" s="10">
        <v>0</v>
      </c>
      <c r="J16" s="10">
        <v>0</v>
      </c>
      <c r="K16" s="10">
        <v>0</v>
      </c>
      <c r="L16" s="5">
        <f t="shared" si="1"/>
        <v>0</v>
      </c>
      <c r="M16" s="10">
        <v>0</v>
      </c>
      <c r="N16" s="10">
        <v>0</v>
      </c>
      <c r="O16" s="10">
        <v>0</v>
      </c>
      <c r="P16" s="10">
        <v>0</v>
      </c>
      <c r="Q16" s="5">
        <f t="shared" si="2"/>
        <v>0</v>
      </c>
      <c r="R16" s="6" t="str">
        <f t="shared" si="3"/>
        <v>5,99</v>
      </c>
      <c r="S16" s="10">
        <v>0</v>
      </c>
      <c r="T16" s="10">
        <v>0</v>
      </c>
      <c r="U16" s="10">
        <f t="shared" si="4"/>
        <v>0</v>
      </c>
      <c r="V16" s="10">
        <f t="shared" si="5"/>
        <v>0</v>
      </c>
      <c r="W16" s="10">
        <f t="shared" si="5"/>
        <v>0</v>
      </c>
    </row>
    <row r="17" spans="1:23" x14ac:dyDescent="0.25">
      <c r="A17" s="6">
        <f>Alumnos!A15</f>
        <v>13</v>
      </c>
      <c r="B17" s="11" t="str">
        <f>_xlfn.CONCAT(Alumnos!C15,Alumnos!D15)</f>
        <v>DOS SANTOS ANGEL GABRIEL</v>
      </c>
      <c r="C17" s="10">
        <v>0</v>
      </c>
      <c r="D17" s="10">
        <v>0</v>
      </c>
      <c r="E17" s="10">
        <v>0</v>
      </c>
      <c r="F17" s="10">
        <v>0</v>
      </c>
      <c r="G17" s="5">
        <f t="shared" si="0"/>
        <v>0</v>
      </c>
      <c r="H17" s="10">
        <v>0</v>
      </c>
      <c r="I17" s="10">
        <v>0</v>
      </c>
      <c r="J17" s="10">
        <v>0</v>
      </c>
      <c r="K17" s="10">
        <v>0</v>
      </c>
      <c r="L17" s="5">
        <f t="shared" si="1"/>
        <v>0</v>
      </c>
      <c r="M17" s="10">
        <v>0</v>
      </c>
      <c r="N17" s="10">
        <v>0</v>
      </c>
      <c r="O17" s="10">
        <v>0</v>
      </c>
      <c r="P17" s="10">
        <v>0</v>
      </c>
      <c r="Q17" s="5">
        <f t="shared" si="2"/>
        <v>0</v>
      </c>
      <c r="R17" s="6" t="str">
        <f t="shared" si="3"/>
        <v>5,99</v>
      </c>
      <c r="S17" s="10">
        <v>0</v>
      </c>
      <c r="T17" s="10">
        <v>0</v>
      </c>
      <c r="U17" s="10">
        <f t="shared" si="4"/>
        <v>0</v>
      </c>
      <c r="V17" s="10">
        <f t="shared" si="5"/>
        <v>0</v>
      </c>
      <c r="W17" s="10">
        <f t="shared" si="5"/>
        <v>0</v>
      </c>
    </row>
    <row r="18" spans="1:23" x14ac:dyDescent="0.25">
      <c r="A18" s="6">
        <f>Alumnos!A16</f>
        <v>14</v>
      </c>
      <c r="B18" s="11" t="str">
        <f>_xlfn.CONCAT(Alumnos!C16,Alumnos!D16)</f>
        <v>IGLESIAS WANDA ADALAY</v>
      </c>
      <c r="C18" s="10">
        <v>0</v>
      </c>
      <c r="D18" s="10">
        <v>0</v>
      </c>
      <c r="E18" s="10">
        <v>0</v>
      </c>
      <c r="F18" s="10">
        <v>0</v>
      </c>
      <c r="G18" s="5">
        <f t="shared" si="0"/>
        <v>0</v>
      </c>
      <c r="H18" s="10">
        <v>0</v>
      </c>
      <c r="I18" s="10">
        <v>0</v>
      </c>
      <c r="J18" s="10">
        <v>0</v>
      </c>
      <c r="K18" s="10">
        <v>0</v>
      </c>
      <c r="L18" s="5">
        <f t="shared" si="1"/>
        <v>0</v>
      </c>
      <c r="M18" s="10">
        <v>0</v>
      </c>
      <c r="N18" s="10">
        <v>0</v>
      </c>
      <c r="O18" s="10">
        <v>0</v>
      </c>
      <c r="P18" s="10">
        <v>0</v>
      </c>
      <c r="Q18" s="5">
        <f t="shared" si="2"/>
        <v>0</v>
      </c>
      <c r="R18" s="6" t="str">
        <f t="shared" si="3"/>
        <v>5,99</v>
      </c>
      <c r="S18" s="10">
        <v>0</v>
      </c>
      <c r="T18" s="10">
        <v>0</v>
      </c>
      <c r="U18" s="10">
        <f t="shared" si="4"/>
        <v>0</v>
      </c>
      <c r="V18" s="10">
        <f t="shared" si="5"/>
        <v>0</v>
      </c>
      <c r="W18" s="10">
        <f t="shared" si="5"/>
        <v>0</v>
      </c>
    </row>
    <row r="19" spans="1:23" x14ac:dyDescent="0.25">
      <c r="A19" s="6">
        <f>Alumnos!A17</f>
        <v>15</v>
      </c>
      <c r="B19" s="11" t="str">
        <f>_xlfn.CONCAT(Alumnos!C17,Alumnos!D17)</f>
        <v>KARUCHEK PEREYRA BRANDON EZEQUIEL</v>
      </c>
      <c r="C19" s="10">
        <v>0</v>
      </c>
      <c r="D19" s="10">
        <v>0</v>
      </c>
      <c r="E19" s="10">
        <v>0</v>
      </c>
      <c r="F19" s="10">
        <v>0</v>
      </c>
      <c r="G19" s="5">
        <f t="shared" si="0"/>
        <v>0</v>
      </c>
      <c r="H19" s="10">
        <v>0</v>
      </c>
      <c r="I19" s="10">
        <v>0</v>
      </c>
      <c r="J19" s="10">
        <v>0</v>
      </c>
      <c r="K19" s="10">
        <v>0</v>
      </c>
      <c r="L19" s="5">
        <f t="shared" si="1"/>
        <v>0</v>
      </c>
      <c r="M19" s="10">
        <v>0</v>
      </c>
      <c r="N19" s="10">
        <v>0</v>
      </c>
      <c r="O19" s="10">
        <v>0</v>
      </c>
      <c r="P19" s="10">
        <v>0</v>
      </c>
      <c r="Q19" s="5">
        <f t="shared" si="2"/>
        <v>0</v>
      </c>
      <c r="R19" s="6" t="str">
        <f t="shared" si="3"/>
        <v>5,99</v>
      </c>
      <c r="S19" s="10">
        <v>0</v>
      </c>
      <c r="T19" s="10">
        <v>0</v>
      </c>
      <c r="U19" s="10">
        <f t="shared" si="4"/>
        <v>0</v>
      </c>
      <c r="V19" s="10">
        <f t="shared" si="5"/>
        <v>0</v>
      </c>
      <c r="W19" s="10">
        <f t="shared" si="5"/>
        <v>0</v>
      </c>
    </row>
    <row r="20" spans="1:23" x14ac:dyDescent="0.25">
      <c r="A20" s="6">
        <f>Alumnos!A18</f>
        <v>16</v>
      </c>
      <c r="B20" s="11" t="str">
        <f>_xlfn.CONCAT(Alumnos!C18,Alumnos!D18)</f>
        <v>LOPEZ ELVIN LEONEL</v>
      </c>
      <c r="C20" s="10">
        <v>0</v>
      </c>
      <c r="D20" s="10">
        <v>0</v>
      </c>
      <c r="E20" s="10">
        <v>0</v>
      </c>
      <c r="F20" s="10">
        <v>0</v>
      </c>
      <c r="G20" s="5">
        <f t="shared" si="0"/>
        <v>0</v>
      </c>
      <c r="H20" s="10">
        <v>0</v>
      </c>
      <c r="I20" s="10">
        <v>0</v>
      </c>
      <c r="J20" s="10">
        <v>0</v>
      </c>
      <c r="K20" s="10">
        <v>0</v>
      </c>
      <c r="L20" s="5">
        <f t="shared" si="1"/>
        <v>0</v>
      </c>
      <c r="M20" s="10">
        <v>0</v>
      </c>
      <c r="N20" s="10">
        <v>0</v>
      </c>
      <c r="O20" s="10">
        <v>0</v>
      </c>
      <c r="P20" s="10">
        <v>0</v>
      </c>
      <c r="Q20" s="5">
        <f t="shared" si="2"/>
        <v>0</v>
      </c>
      <c r="R20" s="6" t="str">
        <f t="shared" si="3"/>
        <v>5,99</v>
      </c>
      <c r="S20" s="10">
        <v>0</v>
      </c>
      <c r="T20" s="10">
        <v>0</v>
      </c>
      <c r="U20" s="10">
        <f t="shared" si="4"/>
        <v>0</v>
      </c>
      <c r="V20" s="10">
        <f t="shared" si="5"/>
        <v>0</v>
      </c>
      <c r="W20" s="10">
        <f t="shared" si="5"/>
        <v>0</v>
      </c>
    </row>
    <row r="21" spans="1:23" x14ac:dyDescent="0.25">
      <c r="A21" s="6">
        <f>Alumnos!A19</f>
        <v>17</v>
      </c>
      <c r="B21" s="11" t="str">
        <f>_xlfn.CONCAT(Alumnos!C19,Alumnos!D19)</f>
        <v>MACIEL GOMEZ LIONEL NICOLAS</v>
      </c>
      <c r="C21" s="10">
        <v>0</v>
      </c>
      <c r="D21" s="10">
        <v>0</v>
      </c>
      <c r="E21" s="10">
        <v>0</v>
      </c>
      <c r="F21" s="10">
        <v>0</v>
      </c>
      <c r="G21" s="5">
        <f t="shared" si="0"/>
        <v>0</v>
      </c>
      <c r="H21" s="10">
        <v>0</v>
      </c>
      <c r="I21" s="10">
        <v>0</v>
      </c>
      <c r="J21" s="10">
        <v>0</v>
      </c>
      <c r="K21" s="10">
        <v>0</v>
      </c>
      <c r="L21" s="5">
        <f t="shared" si="1"/>
        <v>0</v>
      </c>
      <c r="M21" s="10">
        <v>0</v>
      </c>
      <c r="N21" s="10">
        <v>0</v>
      </c>
      <c r="O21" s="10">
        <v>0</v>
      </c>
      <c r="P21" s="10">
        <v>0</v>
      </c>
      <c r="Q21" s="5">
        <f t="shared" si="2"/>
        <v>0</v>
      </c>
      <c r="R21" s="6" t="str">
        <f t="shared" si="3"/>
        <v>5,99</v>
      </c>
      <c r="S21" s="10">
        <v>0</v>
      </c>
      <c r="T21" s="10">
        <v>0</v>
      </c>
      <c r="U21" s="10">
        <f t="shared" si="4"/>
        <v>0</v>
      </c>
      <c r="V21" s="10">
        <f t="shared" si="5"/>
        <v>0</v>
      </c>
      <c r="W21" s="10">
        <f t="shared" si="5"/>
        <v>0</v>
      </c>
    </row>
    <row r="22" spans="1:23" x14ac:dyDescent="0.25">
      <c r="A22" s="6">
        <f>Alumnos!A20</f>
        <v>18</v>
      </c>
      <c r="B22" s="11" t="str">
        <f>_xlfn.CONCAT(Alumnos!C20,Alumnos!D20)</f>
        <v>PADILLA JUNIOR EZEQUIEL</v>
      </c>
      <c r="C22" s="10">
        <v>0</v>
      </c>
      <c r="D22" s="10">
        <v>0</v>
      </c>
      <c r="E22" s="10">
        <v>0</v>
      </c>
      <c r="F22" s="10">
        <v>0</v>
      </c>
      <c r="G22" s="5">
        <f t="shared" si="0"/>
        <v>0</v>
      </c>
      <c r="H22" s="10">
        <v>0</v>
      </c>
      <c r="I22" s="10">
        <v>0</v>
      </c>
      <c r="J22" s="10">
        <v>0</v>
      </c>
      <c r="K22" s="10">
        <v>0</v>
      </c>
      <c r="L22" s="5">
        <f t="shared" si="1"/>
        <v>0</v>
      </c>
      <c r="M22" s="10">
        <v>0</v>
      </c>
      <c r="N22" s="10">
        <v>0</v>
      </c>
      <c r="O22" s="10">
        <v>0</v>
      </c>
      <c r="P22" s="10">
        <v>0</v>
      </c>
      <c r="Q22" s="5">
        <f t="shared" si="2"/>
        <v>0</v>
      </c>
      <c r="R22" s="6" t="str">
        <f t="shared" si="3"/>
        <v>5,99</v>
      </c>
      <c r="S22" s="10">
        <v>0</v>
      </c>
      <c r="T22" s="10">
        <v>0</v>
      </c>
      <c r="U22" s="10">
        <f t="shared" si="4"/>
        <v>0</v>
      </c>
      <c r="V22" s="10">
        <f t="shared" si="5"/>
        <v>0</v>
      </c>
      <c r="W22" s="10">
        <f t="shared" si="5"/>
        <v>0</v>
      </c>
    </row>
    <row r="23" spans="1:23" x14ac:dyDescent="0.25">
      <c r="A23" s="6">
        <f>Alumnos!A21</f>
        <v>19</v>
      </c>
      <c r="B23" s="11" t="str">
        <f>_xlfn.CONCAT(Alumnos!C21,Alumnos!D21)</f>
        <v>PATZER AXEL EMANUEL</v>
      </c>
      <c r="C23" s="10">
        <v>0</v>
      </c>
      <c r="D23" s="10">
        <v>0</v>
      </c>
      <c r="E23" s="10">
        <v>0</v>
      </c>
      <c r="F23" s="10">
        <v>0</v>
      </c>
      <c r="G23" s="5">
        <f t="shared" si="0"/>
        <v>0</v>
      </c>
      <c r="H23" s="10">
        <v>0</v>
      </c>
      <c r="I23" s="10">
        <v>0</v>
      </c>
      <c r="J23" s="10">
        <v>0</v>
      </c>
      <c r="K23" s="10">
        <v>0</v>
      </c>
      <c r="L23" s="5">
        <f t="shared" si="1"/>
        <v>0</v>
      </c>
      <c r="M23" s="10">
        <v>0</v>
      </c>
      <c r="N23" s="10">
        <v>0</v>
      </c>
      <c r="O23" s="10">
        <v>0</v>
      </c>
      <c r="P23" s="10">
        <v>0</v>
      </c>
      <c r="Q23" s="5">
        <f t="shared" si="2"/>
        <v>0</v>
      </c>
      <c r="R23" s="6" t="str">
        <f t="shared" si="3"/>
        <v>5,99</v>
      </c>
      <c r="S23" s="10">
        <v>0</v>
      </c>
      <c r="T23" s="10">
        <v>0</v>
      </c>
      <c r="U23" s="10">
        <f t="shared" si="4"/>
        <v>0</v>
      </c>
      <c r="V23" s="10">
        <f t="shared" si="5"/>
        <v>0</v>
      </c>
      <c r="W23" s="10">
        <f t="shared" si="5"/>
        <v>0</v>
      </c>
    </row>
    <row r="24" spans="1:23" x14ac:dyDescent="0.25">
      <c r="A24" s="6">
        <f>Alumnos!A22</f>
        <v>20</v>
      </c>
      <c r="B24" s="11" t="str">
        <f>_xlfn.CONCAT(Alumnos!C22,Alumnos!D22)</f>
        <v>RODRIGUEZ BRUNO SEBASTIAN</v>
      </c>
      <c r="C24" s="10">
        <v>0</v>
      </c>
      <c r="D24" s="10">
        <v>0</v>
      </c>
      <c r="E24" s="10">
        <v>0</v>
      </c>
      <c r="F24" s="10">
        <v>0</v>
      </c>
      <c r="G24" s="5">
        <f t="shared" si="0"/>
        <v>0</v>
      </c>
      <c r="H24" s="10">
        <v>0</v>
      </c>
      <c r="I24" s="10">
        <v>0</v>
      </c>
      <c r="J24" s="10">
        <v>0</v>
      </c>
      <c r="K24" s="10">
        <v>0</v>
      </c>
      <c r="L24" s="5">
        <f t="shared" si="1"/>
        <v>0</v>
      </c>
      <c r="M24" s="10">
        <v>0</v>
      </c>
      <c r="N24" s="10">
        <v>0</v>
      </c>
      <c r="O24" s="10">
        <v>0</v>
      </c>
      <c r="P24" s="10">
        <v>0</v>
      </c>
      <c r="Q24" s="5">
        <f t="shared" si="2"/>
        <v>0</v>
      </c>
      <c r="R24" s="6" t="str">
        <f t="shared" si="3"/>
        <v>5,99</v>
      </c>
      <c r="S24" s="10">
        <v>0</v>
      </c>
      <c r="T24" s="10">
        <v>0</v>
      </c>
      <c r="U24" s="10">
        <f t="shared" si="4"/>
        <v>0</v>
      </c>
      <c r="V24" s="10">
        <f t="shared" si="5"/>
        <v>0</v>
      </c>
      <c r="W24" s="10">
        <f t="shared" si="5"/>
        <v>0</v>
      </c>
    </row>
    <row r="25" spans="1:23" x14ac:dyDescent="0.25">
      <c r="A25" s="6">
        <f>Alumnos!A23</f>
        <v>21</v>
      </c>
      <c r="B25" s="11" t="str">
        <f>_xlfn.CONCAT(Alumnos!C23,Alumnos!D23)</f>
        <v>SCHUVARTZ MIGUEL MARCELO ARIEL</v>
      </c>
      <c r="C25" s="10">
        <v>0</v>
      </c>
      <c r="D25" s="10">
        <v>0</v>
      </c>
      <c r="E25" s="10">
        <v>0</v>
      </c>
      <c r="F25" s="10">
        <v>0</v>
      </c>
      <c r="G25" s="5">
        <f t="shared" si="0"/>
        <v>0</v>
      </c>
      <c r="H25" s="10">
        <v>0</v>
      </c>
      <c r="I25" s="10">
        <v>0</v>
      </c>
      <c r="J25" s="10">
        <v>0</v>
      </c>
      <c r="K25" s="10">
        <v>0</v>
      </c>
      <c r="L25" s="5">
        <f t="shared" si="1"/>
        <v>0</v>
      </c>
      <c r="M25" s="10">
        <v>0</v>
      </c>
      <c r="N25" s="10">
        <v>0</v>
      </c>
      <c r="O25" s="10">
        <v>0</v>
      </c>
      <c r="P25" s="10">
        <v>0</v>
      </c>
      <c r="Q25" s="5">
        <f t="shared" si="2"/>
        <v>0</v>
      </c>
      <c r="R25" s="6" t="str">
        <f t="shared" si="3"/>
        <v>5,99</v>
      </c>
      <c r="S25" s="10">
        <v>0</v>
      </c>
      <c r="T25" s="10">
        <v>0</v>
      </c>
      <c r="U25" s="10">
        <f t="shared" si="4"/>
        <v>0</v>
      </c>
      <c r="V25" s="10">
        <f t="shared" si="5"/>
        <v>0</v>
      </c>
      <c r="W25" s="10">
        <f t="shared" si="5"/>
        <v>0</v>
      </c>
    </row>
    <row r="26" spans="1:23" x14ac:dyDescent="0.25">
      <c r="A26" s="6">
        <f>Alumnos!A24</f>
        <v>22</v>
      </c>
      <c r="B26" s="11" t="str">
        <f>_xlfn.CONCAT(Alumnos!C24,Alumnos!D24)</f>
        <v>SILVERA ILLESCAS RAMIRO GONZALO</v>
      </c>
      <c r="C26" s="10">
        <v>0</v>
      </c>
      <c r="D26" s="10">
        <v>0</v>
      </c>
      <c r="E26" s="10">
        <v>0</v>
      </c>
      <c r="F26" s="10">
        <v>0</v>
      </c>
      <c r="G26" s="5">
        <f t="shared" si="0"/>
        <v>0</v>
      </c>
      <c r="H26" s="10">
        <v>0</v>
      </c>
      <c r="I26" s="10">
        <v>0</v>
      </c>
      <c r="J26" s="10">
        <v>0</v>
      </c>
      <c r="K26" s="10">
        <v>0</v>
      </c>
      <c r="L26" s="5">
        <f t="shared" si="1"/>
        <v>0</v>
      </c>
      <c r="M26" s="10">
        <v>0</v>
      </c>
      <c r="N26" s="10">
        <v>0</v>
      </c>
      <c r="O26" s="10">
        <v>0</v>
      </c>
      <c r="P26" s="10">
        <v>0</v>
      </c>
      <c r="Q26" s="5">
        <f t="shared" si="2"/>
        <v>0</v>
      </c>
      <c r="R26" s="6" t="str">
        <f t="shared" si="3"/>
        <v>5,99</v>
      </c>
      <c r="S26" s="10">
        <v>0</v>
      </c>
      <c r="T26" s="10">
        <v>0</v>
      </c>
      <c r="U26" s="10">
        <f t="shared" si="4"/>
        <v>0</v>
      </c>
      <c r="V26" s="10">
        <f t="shared" si="5"/>
        <v>0</v>
      </c>
      <c r="W26" s="10">
        <f t="shared" si="5"/>
        <v>0</v>
      </c>
    </row>
    <row r="27" spans="1:23" x14ac:dyDescent="0.25">
      <c r="A27" s="6">
        <f>Alumnos!A25</f>
        <v>23</v>
      </c>
      <c r="B27" s="11" t="str">
        <f>_xlfn.CONCAT(Alumnos!C25,Alumnos!D25)</f>
        <v>SILVERO GUADALUPE ITATI</v>
      </c>
      <c r="C27" s="10">
        <v>0</v>
      </c>
      <c r="D27" s="10">
        <v>0</v>
      </c>
      <c r="E27" s="10">
        <v>0</v>
      </c>
      <c r="F27" s="10">
        <v>0</v>
      </c>
      <c r="G27" s="5">
        <f t="shared" si="0"/>
        <v>0</v>
      </c>
      <c r="H27" s="10">
        <v>0</v>
      </c>
      <c r="I27" s="10">
        <v>0</v>
      </c>
      <c r="J27" s="10">
        <v>0</v>
      </c>
      <c r="K27" s="10">
        <v>0</v>
      </c>
      <c r="L27" s="5">
        <f t="shared" si="1"/>
        <v>0</v>
      </c>
      <c r="M27" s="10">
        <v>0</v>
      </c>
      <c r="N27" s="10">
        <v>0</v>
      </c>
      <c r="O27" s="10">
        <v>0</v>
      </c>
      <c r="P27" s="10">
        <v>0</v>
      </c>
      <c r="Q27" s="5">
        <f t="shared" si="2"/>
        <v>0</v>
      </c>
      <c r="R27" s="6" t="str">
        <f t="shared" si="3"/>
        <v>5,99</v>
      </c>
      <c r="S27" s="10">
        <v>0</v>
      </c>
      <c r="T27" s="10">
        <v>0</v>
      </c>
      <c r="U27" s="10">
        <f t="shared" si="4"/>
        <v>0</v>
      </c>
      <c r="V27" s="10">
        <f t="shared" si="5"/>
        <v>0</v>
      </c>
      <c r="W27" s="10">
        <f t="shared" si="5"/>
        <v>0</v>
      </c>
    </row>
    <row r="28" spans="1:23" x14ac:dyDescent="0.25">
      <c r="A28" s="6">
        <f>Alumnos!A26</f>
        <v>24</v>
      </c>
      <c r="B28" s="11" t="str">
        <f>_xlfn.CONCAT(Alumnos!C26,Alumnos!D26)</f>
        <v>STRIEDER MIA ANTONELLA</v>
      </c>
      <c r="C28" s="10">
        <v>0</v>
      </c>
      <c r="D28" s="10">
        <v>0</v>
      </c>
      <c r="E28" s="10">
        <v>0</v>
      </c>
      <c r="F28" s="10">
        <v>0</v>
      </c>
      <c r="G28" s="5">
        <f t="shared" si="0"/>
        <v>0</v>
      </c>
      <c r="H28" s="10">
        <v>0</v>
      </c>
      <c r="I28" s="10">
        <v>0</v>
      </c>
      <c r="J28" s="10">
        <v>0</v>
      </c>
      <c r="K28" s="10">
        <v>0</v>
      </c>
      <c r="L28" s="5">
        <f t="shared" si="1"/>
        <v>0</v>
      </c>
      <c r="M28" s="10">
        <v>0</v>
      </c>
      <c r="N28" s="10">
        <v>0</v>
      </c>
      <c r="O28" s="10">
        <v>0</v>
      </c>
      <c r="P28" s="10">
        <v>0</v>
      </c>
      <c r="Q28" s="5">
        <f t="shared" si="2"/>
        <v>0</v>
      </c>
      <c r="R28" s="6" t="str">
        <f t="shared" si="3"/>
        <v>5,99</v>
      </c>
      <c r="S28" s="10">
        <v>0</v>
      </c>
      <c r="T28" s="10">
        <v>0</v>
      </c>
      <c r="U28" s="10">
        <f t="shared" si="4"/>
        <v>0</v>
      </c>
      <c r="V28" s="10">
        <f t="shared" si="5"/>
        <v>0</v>
      </c>
      <c r="W28" s="10">
        <f t="shared" si="5"/>
        <v>0</v>
      </c>
    </row>
    <row r="29" spans="1:23" x14ac:dyDescent="0.25">
      <c r="A29" s="6">
        <f>Alumnos!A27</f>
        <v>25</v>
      </c>
      <c r="B29" s="11" t="str">
        <f>_xlfn.CONCAT(Alumnos!C27,Alumnos!D27)</f>
        <v>TOLEDO PEREZ MATIAS GABRIEL</v>
      </c>
      <c r="C29" s="10">
        <v>0</v>
      </c>
      <c r="D29" s="10">
        <v>0</v>
      </c>
      <c r="E29" s="10">
        <v>0</v>
      </c>
      <c r="F29" s="10">
        <v>0</v>
      </c>
      <c r="G29" s="5">
        <f t="shared" si="0"/>
        <v>0</v>
      </c>
      <c r="H29" s="10">
        <v>0</v>
      </c>
      <c r="I29" s="10">
        <v>0</v>
      </c>
      <c r="J29" s="10">
        <v>0</v>
      </c>
      <c r="K29" s="10">
        <v>0</v>
      </c>
      <c r="L29" s="5">
        <f t="shared" si="1"/>
        <v>0</v>
      </c>
      <c r="M29" s="10">
        <v>0</v>
      </c>
      <c r="N29" s="10">
        <v>0</v>
      </c>
      <c r="O29" s="10">
        <v>0</v>
      </c>
      <c r="P29" s="10">
        <v>0</v>
      </c>
      <c r="Q29" s="5">
        <f t="shared" si="2"/>
        <v>0</v>
      </c>
      <c r="R29" s="6" t="str">
        <f t="shared" si="3"/>
        <v>5,99</v>
      </c>
      <c r="S29" s="10">
        <v>0</v>
      </c>
      <c r="T29" s="10">
        <v>0</v>
      </c>
      <c r="U29" s="10">
        <f t="shared" si="4"/>
        <v>0</v>
      </c>
      <c r="V29" s="10">
        <f t="shared" si="5"/>
        <v>0</v>
      </c>
      <c r="W29" s="10">
        <f t="shared" si="5"/>
        <v>0</v>
      </c>
    </row>
    <row r="30" spans="1:23" x14ac:dyDescent="0.25">
      <c r="A30" s="6">
        <f>Alumnos!A28</f>
        <v>26</v>
      </c>
      <c r="B30" s="11" t="str">
        <f>_xlfn.CONCAT(Alumnos!C28,Alumnos!D28)</f>
        <v>VASCO TEXEIRA EMILIANA</v>
      </c>
      <c r="C30" s="10">
        <v>0</v>
      </c>
      <c r="D30" s="10">
        <v>0</v>
      </c>
      <c r="E30" s="10">
        <v>0</v>
      </c>
      <c r="F30" s="10">
        <v>0</v>
      </c>
      <c r="G30" s="5">
        <f t="shared" si="0"/>
        <v>0</v>
      </c>
      <c r="H30" s="10">
        <v>0</v>
      </c>
      <c r="I30" s="10">
        <v>0</v>
      </c>
      <c r="J30" s="10">
        <v>0</v>
      </c>
      <c r="K30" s="10">
        <v>0</v>
      </c>
      <c r="L30" s="5">
        <f t="shared" si="1"/>
        <v>0</v>
      </c>
      <c r="M30" s="10">
        <v>0</v>
      </c>
      <c r="N30" s="10">
        <v>0</v>
      </c>
      <c r="O30" s="10">
        <v>0</v>
      </c>
      <c r="P30" s="10">
        <v>0</v>
      </c>
      <c r="Q30" s="5">
        <f t="shared" si="2"/>
        <v>0</v>
      </c>
      <c r="R30" s="6" t="str">
        <f t="shared" si="3"/>
        <v>5,99</v>
      </c>
      <c r="S30" s="10">
        <v>0</v>
      </c>
      <c r="T30" s="10">
        <v>0</v>
      </c>
      <c r="U30" s="10">
        <f t="shared" si="4"/>
        <v>0</v>
      </c>
      <c r="V30" s="10">
        <f t="shared" si="5"/>
        <v>0</v>
      </c>
      <c r="W30" s="10">
        <f t="shared" si="5"/>
        <v>0</v>
      </c>
    </row>
    <row r="31" spans="1:23" x14ac:dyDescent="0.25">
      <c r="A31" s="6">
        <f>Alumnos!A29</f>
        <v>27</v>
      </c>
      <c r="B31" s="11" t="str">
        <f>_xlfn.CONCAT(Alumnos!C29,Alumnos!D29)</f>
        <v>VIDOTTOEMILY MILAGROS</v>
      </c>
      <c r="C31" s="10">
        <v>0</v>
      </c>
      <c r="D31" s="10">
        <v>0</v>
      </c>
      <c r="E31" s="10">
        <v>0</v>
      </c>
      <c r="F31" s="10">
        <v>0</v>
      </c>
      <c r="G31" s="5">
        <f t="shared" si="0"/>
        <v>0</v>
      </c>
      <c r="H31" s="10">
        <v>0</v>
      </c>
      <c r="I31" s="10">
        <v>0</v>
      </c>
      <c r="J31" s="10">
        <v>0</v>
      </c>
      <c r="K31" s="10">
        <v>0</v>
      </c>
      <c r="L31" s="5">
        <f t="shared" si="1"/>
        <v>0</v>
      </c>
      <c r="M31" s="10">
        <v>0</v>
      </c>
      <c r="N31" s="10">
        <v>0</v>
      </c>
      <c r="O31" s="10">
        <v>0</v>
      </c>
      <c r="P31" s="10">
        <v>0</v>
      </c>
      <c r="Q31" s="5">
        <f t="shared" si="2"/>
        <v>0</v>
      </c>
      <c r="R31" s="6" t="str">
        <f t="shared" si="3"/>
        <v>5,99</v>
      </c>
      <c r="S31" s="10">
        <v>0</v>
      </c>
      <c r="T31" s="10">
        <v>0</v>
      </c>
      <c r="U31" s="10">
        <f t="shared" si="4"/>
        <v>0</v>
      </c>
      <c r="V31" s="10">
        <f t="shared" si="5"/>
        <v>0</v>
      </c>
      <c r="W31" s="10">
        <f t="shared" si="5"/>
        <v>0</v>
      </c>
    </row>
    <row r="32" spans="1:23" x14ac:dyDescent="0.25">
      <c r="A32" s="6">
        <f>Alumnos!A30</f>
        <v>28</v>
      </c>
      <c r="B32" s="11" t="str">
        <f>_xlfn.CONCAT(Alumnos!C30,Alumnos!D30)</f>
        <v>VILLALBA LAUTARO DANIEL</v>
      </c>
      <c r="C32" s="10">
        <v>0</v>
      </c>
      <c r="D32" s="10">
        <v>0</v>
      </c>
      <c r="E32" s="10">
        <v>0</v>
      </c>
      <c r="F32" s="10">
        <v>0</v>
      </c>
      <c r="G32" s="5">
        <f t="shared" si="0"/>
        <v>0</v>
      </c>
      <c r="H32" s="10">
        <v>0</v>
      </c>
      <c r="I32" s="10">
        <v>0</v>
      </c>
      <c r="J32" s="10">
        <v>0</v>
      </c>
      <c r="K32" s="10">
        <v>0</v>
      </c>
      <c r="L32" s="5">
        <f t="shared" si="1"/>
        <v>0</v>
      </c>
      <c r="M32" s="10">
        <v>0</v>
      </c>
      <c r="N32" s="10">
        <v>0</v>
      </c>
      <c r="O32" s="10">
        <v>0</v>
      </c>
      <c r="P32" s="10">
        <v>0</v>
      </c>
      <c r="Q32" s="5">
        <f t="shared" si="2"/>
        <v>0</v>
      </c>
      <c r="R32" s="6" t="str">
        <f t="shared" si="3"/>
        <v>5,99</v>
      </c>
      <c r="S32" s="10">
        <v>0</v>
      </c>
      <c r="T32" s="10">
        <v>0</v>
      </c>
      <c r="U32" s="10">
        <f t="shared" si="4"/>
        <v>0</v>
      </c>
      <c r="V32" s="10">
        <f t="shared" si="5"/>
        <v>0</v>
      </c>
      <c r="W32" s="10">
        <f t="shared" si="5"/>
        <v>0</v>
      </c>
    </row>
    <row r="33" spans="1:23" x14ac:dyDescent="0.25">
      <c r="A33" s="6">
        <f>Alumnos!A31</f>
        <v>29</v>
      </c>
      <c r="B33" s="11" t="str">
        <f>_xlfn.CONCAT(Alumnos!C31,Alumnos!D31)</f>
        <v>WANDSCHEER ARMANDO NICOLAS</v>
      </c>
      <c r="C33" s="10">
        <v>0</v>
      </c>
      <c r="D33" s="10">
        <v>0</v>
      </c>
      <c r="E33" s="10">
        <v>0</v>
      </c>
      <c r="F33" s="10">
        <v>0</v>
      </c>
      <c r="G33" s="5">
        <f t="shared" si="0"/>
        <v>0</v>
      </c>
      <c r="H33" s="10">
        <v>0</v>
      </c>
      <c r="I33" s="10">
        <v>0</v>
      </c>
      <c r="J33" s="10">
        <v>0</v>
      </c>
      <c r="K33" s="10">
        <v>0</v>
      </c>
      <c r="L33" s="5">
        <f t="shared" si="1"/>
        <v>0</v>
      </c>
      <c r="M33" s="10">
        <v>0</v>
      </c>
      <c r="N33" s="10">
        <v>0</v>
      </c>
      <c r="O33" s="10">
        <v>0</v>
      </c>
      <c r="P33" s="10">
        <v>0</v>
      </c>
      <c r="Q33" s="5">
        <f t="shared" si="2"/>
        <v>0</v>
      </c>
      <c r="R33" s="6" t="str">
        <f t="shared" si="3"/>
        <v>5,99</v>
      </c>
      <c r="S33" s="10">
        <v>0</v>
      </c>
      <c r="T33" s="10">
        <v>0</v>
      </c>
      <c r="U33" s="10">
        <f t="shared" si="4"/>
        <v>0</v>
      </c>
      <c r="V33" s="10">
        <f t="shared" si="5"/>
        <v>0</v>
      </c>
      <c r="W33" s="10">
        <f t="shared" si="5"/>
        <v>0</v>
      </c>
    </row>
    <row r="34" spans="1:23" x14ac:dyDescent="0.25">
      <c r="A34" s="6">
        <f>Alumnos!A32</f>
        <v>30</v>
      </c>
      <c r="B34" s="11" t="str">
        <f>_xlfn.CONCAT(Alumnos!C32,Alumnos!D32)</f>
        <v/>
      </c>
      <c r="C34" s="10">
        <v>0</v>
      </c>
      <c r="D34" s="10">
        <v>0</v>
      </c>
      <c r="E34" s="10">
        <v>0</v>
      </c>
      <c r="F34" s="10">
        <v>0</v>
      </c>
      <c r="G34" s="5">
        <f t="shared" si="0"/>
        <v>0</v>
      </c>
      <c r="H34" s="10">
        <v>0</v>
      </c>
      <c r="I34" s="10">
        <v>0</v>
      </c>
      <c r="J34" s="10">
        <v>0</v>
      </c>
      <c r="K34" s="10">
        <v>0</v>
      </c>
      <c r="L34" s="5">
        <f t="shared" si="1"/>
        <v>0</v>
      </c>
      <c r="M34" s="10">
        <v>0</v>
      </c>
      <c r="N34" s="10">
        <v>0</v>
      </c>
      <c r="O34" s="10">
        <v>0</v>
      </c>
      <c r="P34" s="10">
        <v>0</v>
      </c>
      <c r="Q34" s="5">
        <f t="shared" si="2"/>
        <v>0</v>
      </c>
      <c r="R34" s="6" t="str">
        <f t="shared" si="3"/>
        <v>5,99</v>
      </c>
      <c r="S34" s="10">
        <v>0</v>
      </c>
      <c r="T34" s="10">
        <v>0</v>
      </c>
      <c r="U34" s="10">
        <f t="shared" si="4"/>
        <v>0</v>
      </c>
      <c r="V34" s="10">
        <f t="shared" si="5"/>
        <v>0</v>
      </c>
      <c r="W34" s="10">
        <f t="shared" si="5"/>
        <v>0</v>
      </c>
    </row>
    <row r="35" spans="1:23" x14ac:dyDescent="0.25">
      <c r="A35" s="6">
        <f>Alumnos!A33</f>
        <v>31</v>
      </c>
      <c r="B35" s="11" t="str">
        <f>_xlfn.CONCAT(Alumnos!C33,Alumnos!D33)</f>
        <v/>
      </c>
      <c r="C35" s="10">
        <v>0</v>
      </c>
      <c r="D35" s="10">
        <v>0</v>
      </c>
      <c r="E35" s="10">
        <v>0</v>
      </c>
      <c r="F35" s="10">
        <v>0</v>
      </c>
      <c r="G35" s="5">
        <f t="shared" si="0"/>
        <v>0</v>
      </c>
      <c r="H35" s="10">
        <v>0</v>
      </c>
      <c r="I35" s="10">
        <v>0</v>
      </c>
      <c r="J35" s="10">
        <v>0</v>
      </c>
      <c r="K35" s="10">
        <v>0</v>
      </c>
      <c r="L35" s="5">
        <f t="shared" si="1"/>
        <v>0</v>
      </c>
      <c r="M35" s="10">
        <v>0</v>
      </c>
      <c r="N35" s="10">
        <v>0</v>
      </c>
      <c r="O35" s="10">
        <v>0</v>
      </c>
      <c r="P35" s="10">
        <v>0</v>
      </c>
      <c r="Q35" s="5">
        <f t="shared" si="2"/>
        <v>0</v>
      </c>
      <c r="R35" s="6" t="str">
        <f t="shared" si="3"/>
        <v>5,99</v>
      </c>
      <c r="S35" s="10">
        <v>0</v>
      </c>
      <c r="T35" s="10">
        <v>0</v>
      </c>
      <c r="U35" s="10">
        <f t="shared" si="4"/>
        <v>0</v>
      </c>
      <c r="V35" s="10">
        <f t="shared" si="5"/>
        <v>0</v>
      </c>
      <c r="W35" s="10">
        <f t="shared" si="5"/>
        <v>0</v>
      </c>
    </row>
    <row r="36" spans="1:23" x14ac:dyDescent="0.25">
      <c r="A36" s="6">
        <f>Alumnos!A34</f>
        <v>32</v>
      </c>
      <c r="B36" s="11" t="str">
        <f>_xlfn.CONCAT(Alumnos!C34,Alumnos!D34)</f>
        <v/>
      </c>
      <c r="C36" s="10">
        <v>0</v>
      </c>
      <c r="D36" s="10">
        <v>0</v>
      </c>
      <c r="E36" s="10">
        <v>0</v>
      </c>
      <c r="F36" s="10">
        <v>0</v>
      </c>
      <c r="G36" s="5">
        <f t="shared" si="0"/>
        <v>0</v>
      </c>
      <c r="H36" s="10">
        <v>0</v>
      </c>
      <c r="I36" s="10">
        <v>0</v>
      </c>
      <c r="J36" s="10">
        <v>0</v>
      </c>
      <c r="K36" s="10">
        <v>0</v>
      </c>
      <c r="L36" s="5">
        <f t="shared" si="1"/>
        <v>0</v>
      </c>
      <c r="M36" s="10">
        <v>0</v>
      </c>
      <c r="N36" s="10">
        <v>0</v>
      </c>
      <c r="O36" s="10">
        <v>0</v>
      </c>
      <c r="P36" s="10">
        <v>0</v>
      </c>
      <c r="Q36" s="5">
        <f t="shared" si="2"/>
        <v>0</v>
      </c>
      <c r="R36" s="6" t="str">
        <f t="shared" si="3"/>
        <v>5,99</v>
      </c>
      <c r="S36" s="10">
        <v>0</v>
      </c>
      <c r="T36" s="10">
        <v>0</v>
      </c>
      <c r="U36" s="10">
        <f t="shared" si="4"/>
        <v>0</v>
      </c>
      <c r="V36" s="10">
        <f t="shared" si="5"/>
        <v>0</v>
      </c>
      <c r="W36" s="10">
        <f t="shared" si="5"/>
        <v>0</v>
      </c>
    </row>
  </sheetData>
  <mergeCells count="9">
    <mergeCell ref="Q3:W3"/>
    <mergeCell ref="T2:W2"/>
    <mergeCell ref="A1:W1"/>
    <mergeCell ref="C2:P2"/>
    <mergeCell ref="C4:F4"/>
    <mergeCell ref="H4:K4"/>
    <mergeCell ref="M4:P4"/>
    <mergeCell ref="A2:B2"/>
    <mergeCell ref="C3:P3"/>
  </mergeCells>
  <conditionalFormatting sqref="G5:G36">
    <cfRule type="cellIs" dxfId="135" priority="10" operator="lessThanOrEqual">
      <formula>5.99</formula>
    </cfRule>
    <cfRule type="cellIs" dxfId="134" priority="11" operator="greaterThanOrEqual">
      <formula>6</formula>
    </cfRule>
  </conditionalFormatting>
  <conditionalFormatting sqref="L5:L36">
    <cfRule type="cellIs" dxfId="133" priority="6" operator="lessThanOrEqual">
      <formula>5.99</formula>
    </cfRule>
    <cfRule type="cellIs" dxfId="132" priority="7" operator="greaterThanOrEqual">
      <formula>6</formula>
    </cfRule>
  </conditionalFormatting>
  <conditionalFormatting sqref="Q5:Q36 S5:W36">
    <cfRule type="cellIs" dxfId="131" priority="3" operator="lessThanOrEqual">
      <formula>5.99</formula>
    </cfRule>
    <cfRule type="cellIs" dxfId="130" priority="5" operator="greaterThanOrEqual">
      <formula>6</formula>
    </cfRule>
  </conditionalFormatting>
  <conditionalFormatting sqref="R5:R36">
    <cfRule type="containsText" dxfId="129" priority="1" operator="containsText" text="5,99">
      <formula>NOT(ISERROR(SEARCH("5,99",R5)))</formula>
    </cfRule>
    <cfRule type="cellIs" dxfId="128" priority="2" operator="greaterThanOrEqual">
      <formula>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3415F-19C0-4F51-9600-8AE6AD12B490}">
  <sheetPr codeName="Hoja20"/>
  <dimension ref="A1:W36"/>
  <sheetViews>
    <sheetView showGridLines="0" workbookViewId="0">
      <selection activeCell="G5" sqref="G5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26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27</v>
      </c>
      <c r="B2" s="29"/>
      <c r="C2" s="29" t="s">
        <v>28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35</v>
      </c>
      <c r="R2" s="16">
        <v>2024</v>
      </c>
      <c r="S2" s="8" t="s">
        <v>36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29</v>
      </c>
      <c r="B3" s="16" t="str">
        <f>Alumnos!B1</f>
        <v>1-A</v>
      </c>
      <c r="C3" s="29" t="s">
        <v>34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0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18</v>
      </c>
      <c r="B4" s="12" t="s">
        <v>19</v>
      </c>
      <c r="C4" s="29" t="s">
        <v>31</v>
      </c>
      <c r="D4" s="29"/>
      <c r="E4" s="29"/>
      <c r="F4" s="29"/>
      <c r="G4" s="17" t="s">
        <v>20</v>
      </c>
      <c r="H4" s="29" t="s">
        <v>32</v>
      </c>
      <c r="I4" s="29"/>
      <c r="J4" s="29"/>
      <c r="K4" s="29"/>
      <c r="L4" s="17" t="s">
        <v>20</v>
      </c>
      <c r="M4" s="29" t="s">
        <v>33</v>
      </c>
      <c r="N4" s="29"/>
      <c r="O4" s="29"/>
      <c r="P4" s="29"/>
      <c r="Q4" s="17" t="s">
        <v>20</v>
      </c>
      <c r="R4" s="17" t="s">
        <v>25</v>
      </c>
      <c r="S4" s="17" t="s">
        <v>21</v>
      </c>
      <c r="T4" s="17" t="s">
        <v>22</v>
      </c>
      <c r="U4" s="17" t="s">
        <v>41</v>
      </c>
      <c r="V4" s="17" t="s">
        <v>42</v>
      </c>
      <c r="W4" s="17" t="s">
        <v>23</v>
      </c>
    </row>
    <row r="5" spans="1:23" x14ac:dyDescent="0.25">
      <c r="A5" s="16">
        <f>Alumnos!A3</f>
        <v>1</v>
      </c>
      <c r="B5" s="11" t="str">
        <f>_xlfn.CONCAT(Alumnos!C3,Alumnos!D3)</f>
        <v>ARCE TIAGO ARIEL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AYALA CRISTIAN ORLANDO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BOGADO JONAS NATANIEL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BREZ PROCOPIO ANYELINA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BREZ PROCOPIO BRENDA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BRITEZ NAHIARA ANALIA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CACERES SOFIA MARIEL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CANEPPELE ELISANDRO MICAEL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CUELICHE FABRICIO TADEO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DA LUZ ALEX AGUSTIN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DA SILVA RUTH ABIGAIL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DORNEL MAGALI LEONELA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DOS SANTOS ANGEL GABRIEL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IGLESIAS WANDA ADALAY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KARUCHEK PEREYRA BRANDON EZEQUIEL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LOPEZ ELVIN LEONEL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MACIEL GOMEZ LIONEL NICOLAS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PADILLA JUNIOR EZEQUIEL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PATZER AXEL EMANUEL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RODRIGUEZ BRUNO SEBASTIAN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SCHUVARTZ MIGUEL MARCELO ARIEL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SILVERA ILLESCAS RAMIRO GONZALO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SILVERO GUADALUPE ITATI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STRIEDER MIA ANTONELLA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TOLEDO PEREZ MATIAS GABRIEL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VASCO TEXEIRA EMILIANA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VIDOTTOEMILY MILAGROS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VILLALBA LAUTARO DANIEL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WANDSCHEER ARMANDO NICOLAS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/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/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/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127" priority="7" operator="lessThanOrEqual">
      <formula>5.99</formula>
    </cfRule>
    <cfRule type="cellIs" dxfId="126" priority="8" operator="greaterThanOrEqual">
      <formula>6</formula>
    </cfRule>
  </conditionalFormatting>
  <conditionalFormatting sqref="L5:L36">
    <cfRule type="cellIs" dxfId="125" priority="5" operator="lessThanOrEqual">
      <formula>5.99</formula>
    </cfRule>
    <cfRule type="cellIs" dxfId="124" priority="6" operator="greaterThanOrEqual">
      <formula>6</formula>
    </cfRule>
  </conditionalFormatting>
  <conditionalFormatting sqref="Q5:Q36 S5:W36">
    <cfRule type="cellIs" dxfId="123" priority="3" operator="lessThanOrEqual">
      <formula>5.99</formula>
    </cfRule>
    <cfRule type="cellIs" dxfId="122" priority="4" operator="greaterThanOrEqual">
      <formula>6</formula>
    </cfRule>
  </conditionalFormatting>
  <conditionalFormatting sqref="R5:R36">
    <cfRule type="containsText" dxfId="121" priority="1" operator="containsText" text="5,99">
      <formula>NOT(ISERROR(SEARCH("5,99",R5)))</formula>
    </cfRule>
    <cfRule type="cellIs" dxfId="120" priority="2" operator="greaterThanOrEqual">
      <formula>6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12649-EADE-42B2-B83A-383E16D669C4}">
  <sheetPr codeName="Hoja21"/>
  <dimension ref="A1:W36"/>
  <sheetViews>
    <sheetView showGridLines="0" workbookViewId="0">
      <selection activeCell="G36" sqref="G36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26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27</v>
      </c>
      <c r="B2" s="29"/>
      <c r="C2" s="29" t="s">
        <v>28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35</v>
      </c>
      <c r="R2" s="16">
        <v>2024</v>
      </c>
      <c r="S2" s="8" t="s">
        <v>36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29</v>
      </c>
      <c r="B3" s="16" t="str">
        <f>Alumnos!B1</f>
        <v>1-A</v>
      </c>
      <c r="C3" s="29" t="s">
        <v>34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1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18</v>
      </c>
      <c r="B4" s="12" t="s">
        <v>19</v>
      </c>
      <c r="C4" s="29" t="s">
        <v>31</v>
      </c>
      <c r="D4" s="29"/>
      <c r="E4" s="29"/>
      <c r="F4" s="29"/>
      <c r="G4" s="17" t="s">
        <v>20</v>
      </c>
      <c r="H4" s="29" t="s">
        <v>32</v>
      </c>
      <c r="I4" s="29"/>
      <c r="J4" s="29"/>
      <c r="K4" s="29"/>
      <c r="L4" s="17" t="s">
        <v>20</v>
      </c>
      <c r="M4" s="29" t="s">
        <v>33</v>
      </c>
      <c r="N4" s="29"/>
      <c r="O4" s="29"/>
      <c r="P4" s="29"/>
      <c r="Q4" s="17" t="s">
        <v>20</v>
      </c>
      <c r="R4" s="17" t="s">
        <v>25</v>
      </c>
      <c r="S4" s="17" t="s">
        <v>21</v>
      </c>
      <c r="T4" s="17" t="s">
        <v>22</v>
      </c>
      <c r="U4" s="17" t="s">
        <v>41</v>
      </c>
      <c r="V4" s="17" t="s">
        <v>42</v>
      </c>
      <c r="W4" s="17" t="s">
        <v>23</v>
      </c>
    </row>
    <row r="5" spans="1:23" x14ac:dyDescent="0.25">
      <c r="A5" s="16">
        <f>Alumnos!A3</f>
        <v>1</v>
      </c>
      <c r="B5" s="11" t="str">
        <f>_xlfn.CONCAT(Alumnos!C3,Alumnos!D3)</f>
        <v>ARCE TIAGO ARIEL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AYALA CRISTIAN ORLANDO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BOGADO JONAS NATANIEL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BREZ PROCOPIO ANYELINA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BREZ PROCOPIO BRENDA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BRITEZ NAHIARA ANALIA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CACERES SOFIA MARIEL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CANEPPELE ELISANDRO MICAEL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CUELICHE FABRICIO TADEO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DA LUZ ALEX AGUSTIN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DA SILVA RUTH ABIGAIL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DORNEL MAGALI LEONELA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DOS SANTOS ANGEL GABRIEL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IGLESIAS WANDA ADALAY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KARUCHEK PEREYRA BRANDON EZEQUIEL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LOPEZ ELVIN LEONEL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MACIEL GOMEZ LIONEL NICOLAS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PADILLA JUNIOR EZEQUIEL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PATZER AXEL EMANUEL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RODRIGUEZ BRUNO SEBASTIAN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SCHUVARTZ MIGUEL MARCELO ARIEL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SILVERA ILLESCAS RAMIRO GONZALO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SILVERO GUADALUPE ITATI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STRIEDER MIA ANTONELLA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TOLEDO PEREZ MATIAS GABRIEL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VASCO TEXEIRA EMILIANA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VIDOTTOEMILY MILAGROS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VILLALBA LAUTARO DANIEL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WANDSCHEER ARMANDO NICOLAS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/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/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/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119" priority="7" operator="lessThanOrEqual">
      <formula>5.99</formula>
    </cfRule>
    <cfRule type="cellIs" dxfId="118" priority="8" operator="greaterThanOrEqual">
      <formula>6</formula>
    </cfRule>
  </conditionalFormatting>
  <conditionalFormatting sqref="L5:L36">
    <cfRule type="cellIs" dxfId="117" priority="5" operator="lessThanOrEqual">
      <formula>5.99</formula>
    </cfRule>
    <cfRule type="cellIs" dxfId="116" priority="6" operator="greaterThanOrEqual">
      <formula>6</formula>
    </cfRule>
  </conditionalFormatting>
  <conditionalFormatting sqref="Q5:Q36 S5:W36">
    <cfRule type="cellIs" dxfId="115" priority="3" operator="lessThanOrEqual">
      <formula>5.99</formula>
    </cfRule>
    <cfRule type="cellIs" dxfId="114" priority="4" operator="greaterThanOrEqual">
      <formula>6</formula>
    </cfRule>
  </conditionalFormatting>
  <conditionalFormatting sqref="R5:R36">
    <cfRule type="containsText" dxfId="113" priority="1" operator="containsText" text="5,99">
      <formula>NOT(ISERROR(SEARCH("5,99",R5)))</formula>
    </cfRule>
    <cfRule type="cellIs" dxfId="112" priority="2" operator="greaterThanOrEqual">
      <formula>6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4FD70-0C73-4CDC-9953-EA3507144F20}">
  <sheetPr codeName="Hoja22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26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27</v>
      </c>
      <c r="B2" s="29"/>
      <c r="C2" s="29" t="s">
        <v>28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35</v>
      </c>
      <c r="R2" s="16">
        <v>2024</v>
      </c>
      <c r="S2" s="8" t="s">
        <v>36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29</v>
      </c>
      <c r="B3" s="16" t="str">
        <f>Alumnos!B1</f>
        <v>1-A</v>
      </c>
      <c r="C3" s="29" t="s">
        <v>34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2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18</v>
      </c>
      <c r="B4" s="12" t="s">
        <v>19</v>
      </c>
      <c r="C4" s="29" t="s">
        <v>31</v>
      </c>
      <c r="D4" s="29"/>
      <c r="E4" s="29"/>
      <c r="F4" s="29"/>
      <c r="G4" s="17" t="s">
        <v>20</v>
      </c>
      <c r="H4" s="29" t="s">
        <v>32</v>
      </c>
      <c r="I4" s="29"/>
      <c r="J4" s="29"/>
      <c r="K4" s="29"/>
      <c r="L4" s="17" t="s">
        <v>20</v>
      </c>
      <c r="M4" s="29" t="s">
        <v>33</v>
      </c>
      <c r="N4" s="29"/>
      <c r="O4" s="29"/>
      <c r="P4" s="29"/>
      <c r="Q4" s="17" t="s">
        <v>20</v>
      </c>
      <c r="R4" s="17" t="s">
        <v>25</v>
      </c>
      <c r="S4" s="17" t="s">
        <v>21</v>
      </c>
      <c r="T4" s="17" t="s">
        <v>22</v>
      </c>
      <c r="U4" s="17" t="s">
        <v>41</v>
      </c>
      <c r="V4" s="17" t="s">
        <v>42</v>
      </c>
      <c r="W4" s="17" t="s">
        <v>23</v>
      </c>
    </row>
    <row r="5" spans="1:23" x14ac:dyDescent="0.25">
      <c r="A5" s="16">
        <f>Alumnos!A3</f>
        <v>1</v>
      </c>
      <c r="B5" s="11" t="str">
        <f>_xlfn.CONCAT(Alumnos!C3,Alumnos!D3)</f>
        <v>ARCE TIAGO ARIEL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AYALA CRISTIAN ORLANDO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BOGADO JONAS NATANIEL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BREZ PROCOPIO ANYELINA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BREZ PROCOPIO BRENDA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BRITEZ NAHIARA ANALIA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CACERES SOFIA MARIEL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CANEPPELE ELISANDRO MICAEL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CUELICHE FABRICIO TADEO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DA LUZ ALEX AGUSTIN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DA SILVA RUTH ABIGAIL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DORNEL MAGALI LEONELA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DOS SANTOS ANGEL GABRIEL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IGLESIAS WANDA ADALAY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KARUCHEK PEREYRA BRANDON EZEQUIEL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LOPEZ ELVIN LEONEL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MACIEL GOMEZ LIONEL NICOLAS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PADILLA JUNIOR EZEQUIEL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PATZER AXEL EMANUEL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RODRIGUEZ BRUNO SEBASTIAN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SCHUVARTZ MIGUEL MARCELO ARIEL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SILVERA ILLESCAS RAMIRO GONZALO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SILVERO GUADALUPE ITATI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STRIEDER MIA ANTONELLA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TOLEDO PEREZ MATIAS GABRIEL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VASCO TEXEIRA EMILIANA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VIDOTTOEMILY MILAGROS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VILLALBA LAUTARO DANIEL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WANDSCHEER ARMANDO NICOLAS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/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/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/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111" priority="7" operator="lessThanOrEqual">
      <formula>5.99</formula>
    </cfRule>
    <cfRule type="cellIs" dxfId="110" priority="8" operator="greaterThanOrEqual">
      <formula>6</formula>
    </cfRule>
  </conditionalFormatting>
  <conditionalFormatting sqref="L5:L36">
    <cfRule type="cellIs" dxfId="109" priority="5" operator="lessThanOrEqual">
      <formula>5.99</formula>
    </cfRule>
    <cfRule type="cellIs" dxfId="108" priority="6" operator="greaterThanOrEqual">
      <formula>6</formula>
    </cfRule>
  </conditionalFormatting>
  <conditionalFormatting sqref="Q5:Q36 S5:W36">
    <cfRule type="cellIs" dxfId="107" priority="3" operator="lessThanOrEqual">
      <formula>5.99</formula>
    </cfRule>
    <cfRule type="cellIs" dxfId="106" priority="4" operator="greaterThanOrEqual">
      <formula>6</formula>
    </cfRule>
  </conditionalFormatting>
  <conditionalFormatting sqref="R5:R36">
    <cfRule type="containsText" dxfId="105" priority="1" operator="containsText" text="5,99">
      <formula>NOT(ISERROR(SEARCH("5,99",R5)))</formula>
    </cfRule>
    <cfRule type="cellIs" dxfId="104" priority="2" operator="greaterThanOrEqual">
      <formula>6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01B24-3D17-48BF-8424-B947A2FD1A40}">
  <sheetPr codeName="Hoja23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26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27</v>
      </c>
      <c r="B2" s="29"/>
      <c r="C2" s="29" t="s">
        <v>28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35</v>
      </c>
      <c r="R2" s="16">
        <v>2024</v>
      </c>
      <c r="S2" s="8" t="s">
        <v>36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29</v>
      </c>
      <c r="B3" s="16" t="str">
        <f>Alumnos!B1</f>
        <v>1-A</v>
      </c>
      <c r="C3" s="29" t="s">
        <v>34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3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18</v>
      </c>
      <c r="B4" s="12" t="s">
        <v>19</v>
      </c>
      <c r="C4" s="29" t="s">
        <v>31</v>
      </c>
      <c r="D4" s="29"/>
      <c r="E4" s="29"/>
      <c r="F4" s="29"/>
      <c r="G4" s="17" t="s">
        <v>20</v>
      </c>
      <c r="H4" s="29" t="s">
        <v>32</v>
      </c>
      <c r="I4" s="29"/>
      <c r="J4" s="29"/>
      <c r="K4" s="29"/>
      <c r="L4" s="17" t="s">
        <v>20</v>
      </c>
      <c r="M4" s="29" t="s">
        <v>33</v>
      </c>
      <c r="N4" s="29"/>
      <c r="O4" s="29"/>
      <c r="P4" s="29"/>
      <c r="Q4" s="17" t="s">
        <v>20</v>
      </c>
      <c r="R4" s="17" t="s">
        <v>25</v>
      </c>
      <c r="S4" s="17" t="s">
        <v>21</v>
      </c>
      <c r="T4" s="17" t="s">
        <v>22</v>
      </c>
      <c r="U4" s="17" t="s">
        <v>41</v>
      </c>
      <c r="V4" s="17" t="s">
        <v>42</v>
      </c>
      <c r="W4" s="17" t="s">
        <v>23</v>
      </c>
    </row>
    <row r="5" spans="1:23" x14ac:dyDescent="0.25">
      <c r="A5" s="16">
        <f>Alumnos!A3</f>
        <v>1</v>
      </c>
      <c r="B5" s="11" t="str">
        <f>_xlfn.CONCAT(Alumnos!C3,Alumnos!D3)</f>
        <v>ARCE TIAGO ARIEL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AYALA CRISTIAN ORLANDO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BOGADO JONAS NATANIEL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BREZ PROCOPIO ANYELINA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BREZ PROCOPIO BRENDA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BRITEZ NAHIARA ANALIA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CACERES SOFIA MARIEL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CANEPPELE ELISANDRO MICAEL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CUELICHE FABRICIO TADEO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DA LUZ ALEX AGUSTIN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DA SILVA RUTH ABIGAIL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DORNEL MAGALI LEONELA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DOS SANTOS ANGEL GABRIEL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IGLESIAS WANDA ADALAY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KARUCHEK PEREYRA BRANDON EZEQUIEL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LOPEZ ELVIN LEONEL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MACIEL GOMEZ LIONEL NICOLAS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PADILLA JUNIOR EZEQUIEL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PATZER AXEL EMANUEL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RODRIGUEZ BRUNO SEBASTIAN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SCHUVARTZ MIGUEL MARCELO ARIEL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SILVERA ILLESCAS RAMIRO GONZALO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SILVERO GUADALUPE ITATI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STRIEDER MIA ANTONELLA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TOLEDO PEREZ MATIAS GABRIEL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VASCO TEXEIRA EMILIANA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VIDOTTOEMILY MILAGROS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VILLALBA LAUTARO DANIEL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WANDSCHEER ARMANDO NICOLAS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/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/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/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103" priority="7" operator="lessThanOrEqual">
      <formula>5.99</formula>
    </cfRule>
    <cfRule type="cellIs" dxfId="102" priority="8" operator="greaterThanOrEqual">
      <formula>6</formula>
    </cfRule>
  </conditionalFormatting>
  <conditionalFormatting sqref="L5:L36">
    <cfRule type="cellIs" dxfId="101" priority="5" operator="lessThanOrEqual">
      <formula>5.99</formula>
    </cfRule>
    <cfRule type="cellIs" dxfId="100" priority="6" operator="greaterThanOrEqual">
      <formula>6</formula>
    </cfRule>
  </conditionalFormatting>
  <conditionalFormatting sqref="Q5:Q36 S5:W36">
    <cfRule type="cellIs" dxfId="99" priority="3" operator="lessThanOrEqual">
      <formula>5.99</formula>
    </cfRule>
    <cfRule type="cellIs" dxfId="98" priority="4" operator="greaterThanOrEqual">
      <formula>6</formula>
    </cfRule>
  </conditionalFormatting>
  <conditionalFormatting sqref="R5:R36">
    <cfRule type="containsText" dxfId="97" priority="1" operator="containsText" text="5,99">
      <formula>NOT(ISERROR(SEARCH("5,99",R5)))</formula>
    </cfRule>
    <cfRule type="cellIs" dxfId="96" priority="2" operator="greaterThanOrEqual">
      <formula>6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9B874-807A-4103-ABA8-982D11038567}">
  <sheetPr codeName="Hoja24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26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27</v>
      </c>
      <c r="B2" s="29"/>
      <c r="C2" s="29" t="s">
        <v>28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35</v>
      </c>
      <c r="R2" s="16">
        <v>2024</v>
      </c>
      <c r="S2" s="8" t="s">
        <v>36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29</v>
      </c>
      <c r="B3" s="16" t="str">
        <f>Alumnos!B1</f>
        <v>1-A</v>
      </c>
      <c r="C3" s="29" t="s">
        <v>34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4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18</v>
      </c>
      <c r="B4" s="12" t="s">
        <v>19</v>
      </c>
      <c r="C4" s="29" t="s">
        <v>31</v>
      </c>
      <c r="D4" s="29"/>
      <c r="E4" s="29"/>
      <c r="F4" s="29"/>
      <c r="G4" s="17" t="s">
        <v>20</v>
      </c>
      <c r="H4" s="29" t="s">
        <v>32</v>
      </c>
      <c r="I4" s="29"/>
      <c r="J4" s="29"/>
      <c r="K4" s="29"/>
      <c r="L4" s="17" t="s">
        <v>20</v>
      </c>
      <c r="M4" s="29" t="s">
        <v>33</v>
      </c>
      <c r="N4" s="29"/>
      <c r="O4" s="29"/>
      <c r="P4" s="29"/>
      <c r="Q4" s="17" t="s">
        <v>20</v>
      </c>
      <c r="R4" s="17" t="s">
        <v>25</v>
      </c>
      <c r="S4" s="17" t="s">
        <v>21</v>
      </c>
      <c r="T4" s="17" t="s">
        <v>22</v>
      </c>
      <c r="U4" s="17" t="s">
        <v>41</v>
      </c>
      <c r="V4" s="17" t="s">
        <v>42</v>
      </c>
      <c r="W4" s="17" t="s">
        <v>23</v>
      </c>
    </row>
    <row r="5" spans="1:23" x14ac:dyDescent="0.25">
      <c r="A5" s="16">
        <f>Alumnos!A3</f>
        <v>1</v>
      </c>
      <c r="B5" s="11" t="str">
        <f>_xlfn.CONCAT(Alumnos!C3,Alumnos!D3)</f>
        <v>ARCE TIAGO ARIEL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AYALA CRISTIAN ORLANDO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BOGADO JONAS NATANIEL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BREZ PROCOPIO ANYELINA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BREZ PROCOPIO BRENDA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BRITEZ NAHIARA ANALIA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CACERES SOFIA MARIEL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CANEPPELE ELISANDRO MICAEL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CUELICHE FABRICIO TADEO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DA LUZ ALEX AGUSTIN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DA SILVA RUTH ABIGAIL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DORNEL MAGALI LEONELA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DOS SANTOS ANGEL GABRIEL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IGLESIAS WANDA ADALAY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KARUCHEK PEREYRA BRANDON EZEQUIEL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LOPEZ ELVIN LEONEL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MACIEL GOMEZ LIONEL NICOLAS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PADILLA JUNIOR EZEQUIEL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PATZER AXEL EMANUEL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RODRIGUEZ BRUNO SEBASTIAN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SCHUVARTZ MIGUEL MARCELO ARIEL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SILVERA ILLESCAS RAMIRO GONZALO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SILVERO GUADALUPE ITATI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STRIEDER MIA ANTONELLA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TOLEDO PEREZ MATIAS GABRIEL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VASCO TEXEIRA EMILIANA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VIDOTTOEMILY MILAGROS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VILLALBA LAUTARO DANIEL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WANDSCHEER ARMANDO NICOLAS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/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/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/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95" priority="7" operator="lessThanOrEqual">
      <formula>5.99</formula>
    </cfRule>
    <cfRule type="cellIs" dxfId="94" priority="8" operator="greaterThanOrEqual">
      <formula>6</formula>
    </cfRule>
  </conditionalFormatting>
  <conditionalFormatting sqref="L5:L36">
    <cfRule type="cellIs" dxfId="93" priority="5" operator="lessThanOrEqual">
      <formula>5.99</formula>
    </cfRule>
    <cfRule type="cellIs" dxfId="92" priority="6" operator="greaterThanOrEqual">
      <formula>6</formula>
    </cfRule>
  </conditionalFormatting>
  <conditionalFormatting sqref="Q5:Q36 S5:W36">
    <cfRule type="cellIs" dxfId="91" priority="3" operator="lessThanOrEqual">
      <formula>5.99</formula>
    </cfRule>
    <cfRule type="cellIs" dxfId="90" priority="4" operator="greaterThanOrEqual">
      <formula>6</formula>
    </cfRule>
  </conditionalFormatting>
  <conditionalFormatting sqref="R5:R36">
    <cfRule type="containsText" dxfId="89" priority="1" operator="containsText" text="5,99">
      <formula>NOT(ISERROR(SEARCH("5,99",R5)))</formula>
    </cfRule>
    <cfRule type="cellIs" dxfId="88" priority="2" operator="greaterThanOrEqual">
      <formula>6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079E3-461A-4BBF-A42B-449FEDE18DB9}">
  <sheetPr codeName="Hoja25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26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27</v>
      </c>
      <c r="B2" s="29"/>
      <c r="C2" s="29" t="s">
        <v>28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35</v>
      </c>
      <c r="R2" s="16">
        <v>2024</v>
      </c>
      <c r="S2" s="8" t="s">
        <v>36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29</v>
      </c>
      <c r="B3" s="16" t="str">
        <f>Alumnos!B1</f>
        <v>1-A</v>
      </c>
      <c r="C3" s="29" t="s">
        <v>34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5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18</v>
      </c>
      <c r="B4" s="12" t="s">
        <v>19</v>
      </c>
      <c r="C4" s="29" t="s">
        <v>31</v>
      </c>
      <c r="D4" s="29"/>
      <c r="E4" s="29"/>
      <c r="F4" s="29"/>
      <c r="G4" s="17" t="s">
        <v>20</v>
      </c>
      <c r="H4" s="29" t="s">
        <v>32</v>
      </c>
      <c r="I4" s="29"/>
      <c r="J4" s="29"/>
      <c r="K4" s="29"/>
      <c r="L4" s="17" t="s">
        <v>20</v>
      </c>
      <c r="M4" s="29" t="s">
        <v>33</v>
      </c>
      <c r="N4" s="29"/>
      <c r="O4" s="29"/>
      <c r="P4" s="29"/>
      <c r="Q4" s="17" t="s">
        <v>20</v>
      </c>
      <c r="R4" s="17" t="s">
        <v>25</v>
      </c>
      <c r="S4" s="17" t="s">
        <v>21</v>
      </c>
      <c r="T4" s="17" t="s">
        <v>22</v>
      </c>
      <c r="U4" s="17" t="s">
        <v>41</v>
      </c>
      <c r="V4" s="17" t="s">
        <v>42</v>
      </c>
      <c r="W4" s="17" t="s">
        <v>23</v>
      </c>
    </row>
    <row r="5" spans="1:23" x14ac:dyDescent="0.25">
      <c r="A5" s="16">
        <f>Alumnos!A3</f>
        <v>1</v>
      </c>
      <c r="B5" s="11" t="str">
        <f>_xlfn.CONCAT(Alumnos!C3,Alumnos!D3)</f>
        <v>ARCE TIAGO ARIEL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AYALA CRISTIAN ORLANDO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BOGADO JONAS NATANIEL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BREZ PROCOPIO ANYELINA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BREZ PROCOPIO BRENDA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BRITEZ NAHIARA ANALIA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CACERES SOFIA MARIEL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CANEPPELE ELISANDRO MICAEL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CUELICHE FABRICIO TADEO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DA LUZ ALEX AGUSTIN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DA SILVA RUTH ABIGAIL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DORNEL MAGALI LEONELA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DOS SANTOS ANGEL GABRIEL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IGLESIAS WANDA ADALAY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KARUCHEK PEREYRA BRANDON EZEQUIEL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LOPEZ ELVIN LEONEL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MACIEL GOMEZ LIONEL NICOLAS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PADILLA JUNIOR EZEQUIEL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PATZER AXEL EMANUEL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RODRIGUEZ BRUNO SEBASTIAN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SCHUVARTZ MIGUEL MARCELO ARIEL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SILVERA ILLESCAS RAMIRO GONZALO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SILVERO GUADALUPE ITATI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STRIEDER MIA ANTONELLA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TOLEDO PEREZ MATIAS GABRIEL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VASCO TEXEIRA EMILIANA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VIDOTTOEMILY MILAGROS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VILLALBA LAUTARO DANIEL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WANDSCHEER ARMANDO NICOLAS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/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/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/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87" priority="7" operator="lessThanOrEqual">
      <formula>5.99</formula>
    </cfRule>
    <cfRule type="cellIs" dxfId="86" priority="8" operator="greaterThanOrEqual">
      <formula>6</formula>
    </cfRule>
  </conditionalFormatting>
  <conditionalFormatting sqref="L5:L36">
    <cfRule type="cellIs" dxfId="85" priority="5" operator="lessThanOrEqual">
      <formula>5.99</formula>
    </cfRule>
    <cfRule type="cellIs" dxfId="84" priority="6" operator="greaterThanOrEqual">
      <formula>6</formula>
    </cfRule>
  </conditionalFormatting>
  <conditionalFormatting sqref="Q5:Q36 S5:W36">
    <cfRule type="cellIs" dxfId="83" priority="3" operator="lessThanOrEqual">
      <formula>5.99</formula>
    </cfRule>
    <cfRule type="cellIs" dxfId="82" priority="4" operator="greaterThanOrEqual">
      <formula>6</formula>
    </cfRule>
  </conditionalFormatting>
  <conditionalFormatting sqref="R5:R36">
    <cfRule type="containsText" dxfId="81" priority="1" operator="containsText" text="5,99">
      <formula>NOT(ISERROR(SEARCH("5,99",R5)))</formula>
    </cfRule>
    <cfRule type="cellIs" dxfId="80" priority="2" operator="greaterThanOrEqual">
      <formula>6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179C2-E651-40A5-A1C4-BA40103E71DA}">
  <sheetPr codeName="Hoja26"/>
  <dimension ref="A1:W36"/>
  <sheetViews>
    <sheetView showGridLines="0" workbookViewId="0">
      <selection activeCell="I11" sqref="I11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26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27</v>
      </c>
      <c r="B2" s="29"/>
      <c r="C2" s="29" t="s">
        <v>28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35</v>
      </c>
      <c r="R2" s="16">
        <v>2024</v>
      </c>
      <c r="S2" s="8" t="s">
        <v>36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29</v>
      </c>
      <c r="B3" s="16" t="str">
        <f>Alumnos!B1</f>
        <v>1-A</v>
      </c>
      <c r="C3" s="29" t="s">
        <v>34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6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18</v>
      </c>
      <c r="B4" s="12" t="s">
        <v>19</v>
      </c>
      <c r="C4" s="29" t="s">
        <v>31</v>
      </c>
      <c r="D4" s="29"/>
      <c r="E4" s="29"/>
      <c r="F4" s="29"/>
      <c r="G4" s="17" t="s">
        <v>20</v>
      </c>
      <c r="H4" s="29" t="s">
        <v>32</v>
      </c>
      <c r="I4" s="29"/>
      <c r="J4" s="29"/>
      <c r="K4" s="29"/>
      <c r="L4" s="17" t="s">
        <v>20</v>
      </c>
      <c r="M4" s="29" t="s">
        <v>33</v>
      </c>
      <c r="N4" s="29"/>
      <c r="O4" s="29"/>
      <c r="P4" s="29"/>
      <c r="Q4" s="17" t="s">
        <v>20</v>
      </c>
      <c r="R4" s="17" t="s">
        <v>25</v>
      </c>
      <c r="S4" s="17" t="s">
        <v>21</v>
      </c>
      <c r="T4" s="17" t="s">
        <v>22</v>
      </c>
      <c r="U4" s="17" t="s">
        <v>41</v>
      </c>
      <c r="V4" s="17" t="s">
        <v>42</v>
      </c>
      <c r="W4" s="17" t="s">
        <v>23</v>
      </c>
    </row>
    <row r="5" spans="1:23" x14ac:dyDescent="0.25">
      <c r="A5" s="16">
        <f>Alumnos!A3</f>
        <v>1</v>
      </c>
      <c r="B5" s="11" t="str">
        <f>_xlfn.CONCAT(Alumnos!C3,Alumnos!D3)</f>
        <v>ARCE TIAGO ARIEL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AYALA CRISTIAN ORLANDO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BOGADO JONAS NATANIEL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BREZ PROCOPIO ANYELINA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BREZ PROCOPIO BRENDA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BRITEZ NAHIARA ANALIA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CACERES SOFIA MARIEL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CANEPPELE ELISANDRO MICAEL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CUELICHE FABRICIO TADEO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DA LUZ ALEX AGUSTIN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DA SILVA RUTH ABIGAIL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DORNEL MAGALI LEONELA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DOS SANTOS ANGEL GABRIEL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IGLESIAS WANDA ADALAY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KARUCHEK PEREYRA BRANDON EZEQUIEL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LOPEZ ELVIN LEONEL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MACIEL GOMEZ LIONEL NICOLAS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PADILLA JUNIOR EZEQUIEL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PATZER AXEL EMANUEL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RODRIGUEZ BRUNO SEBASTIAN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SCHUVARTZ MIGUEL MARCELO ARIEL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SILVERA ILLESCAS RAMIRO GONZALO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SILVERO GUADALUPE ITATI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STRIEDER MIA ANTONELLA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TOLEDO PEREZ MATIAS GABRIEL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VASCO TEXEIRA EMILIANA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VIDOTTOEMILY MILAGROS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VILLALBA LAUTARO DANIEL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WANDSCHEER ARMANDO NICOLAS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/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/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/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79" priority="7" operator="lessThanOrEqual">
      <formula>5.99</formula>
    </cfRule>
    <cfRule type="cellIs" dxfId="78" priority="8" operator="greaterThanOrEqual">
      <formula>6</formula>
    </cfRule>
  </conditionalFormatting>
  <conditionalFormatting sqref="L5:L36">
    <cfRule type="cellIs" dxfId="77" priority="5" operator="lessThanOrEqual">
      <formula>5.99</formula>
    </cfRule>
    <cfRule type="cellIs" dxfId="76" priority="6" operator="greaterThanOrEqual">
      <formula>6</formula>
    </cfRule>
  </conditionalFormatting>
  <conditionalFormatting sqref="Q5:Q36 S5:W36">
    <cfRule type="cellIs" dxfId="75" priority="3" operator="lessThanOrEqual">
      <formula>5.99</formula>
    </cfRule>
    <cfRule type="cellIs" dxfId="74" priority="4" operator="greaterThanOrEqual">
      <formula>6</formula>
    </cfRule>
  </conditionalFormatting>
  <conditionalFormatting sqref="R5:R36">
    <cfRule type="containsText" dxfId="73" priority="1" operator="containsText" text="5,99">
      <formula>NOT(ISERROR(SEARCH("5,99",R5)))</formula>
    </cfRule>
    <cfRule type="cellIs" dxfId="72" priority="2" operator="greaterThanOrEqual">
      <formula>6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9901D-327B-46B3-9EB2-CB6CBC3A146B}">
  <sheetPr codeName="Hoja27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26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27</v>
      </c>
      <c r="B2" s="29"/>
      <c r="C2" s="29" t="s">
        <v>28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35</v>
      </c>
      <c r="R2" s="16">
        <v>2024</v>
      </c>
      <c r="S2" s="8" t="s">
        <v>36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29</v>
      </c>
      <c r="B3" s="16" t="str">
        <f>Alumnos!B1</f>
        <v>1-A</v>
      </c>
      <c r="C3" s="29" t="s">
        <v>34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7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18</v>
      </c>
      <c r="B4" s="12" t="s">
        <v>19</v>
      </c>
      <c r="C4" s="29" t="s">
        <v>31</v>
      </c>
      <c r="D4" s="29"/>
      <c r="E4" s="29"/>
      <c r="F4" s="29"/>
      <c r="G4" s="17" t="s">
        <v>20</v>
      </c>
      <c r="H4" s="29" t="s">
        <v>32</v>
      </c>
      <c r="I4" s="29"/>
      <c r="J4" s="29"/>
      <c r="K4" s="29"/>
      <c r="L4" s="17" t="s">
        <v>20</v>
      </c>
      <c r="M4" s="29" t="s">
        <v>33</v>
      </c>
      <c r="N4" s="29"/>
      <c r="O4" s="29"/>
      <c r="P4" s="29"/>
      <c r="Q4" s="17" t="s">
        <v>20</v>
      </c>
      <c r="R4" s="17" t="s">
        <v>25</v>
      </c>
      <c r="S4" s="17" t="s">
        <v>21</v>
      </c>
      <c r="T4" s="17" t="s">
        <v>22</v>
      </c>
      <c r="U4" s="17" t="s">
        <v>41</v>
      </c>
      <c r="V4" s="17" t="s">
        <v>42</v>
      </c>
      <c r="W4" s="17" t="s">
        <v>23</v>
      </c>
    </row>
    <row r="5" spans="1:23" x14ac:dyDescent="0.25">
      <c r="A5" s="16">
        <f>Alumnos!A3</f>
        <v>1</v>
      </c>
      <c r="B5" s="11" t="str">
        <f>_xlfn.CONCAT(Alumnos!C3,Alumnos!D3)</f>
        <v>ARCE TIAGO ARIEL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AYALA CRISTIAN ORLANDO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BOGADO JONAS NATANIEL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BREZ PROCOPIO ANYELINA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BREZ PROCOPIO BRENDA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BRITEZ NAHIARA ANALIA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CACERES SOFIA MARIEL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CANEPPELE ELISANDRO MICAEL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CUELICHE FABRICIO TADEO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DA LUZ ALEX AGUSTIN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DA SILVA RUTH ABIGAIL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DORNEL MAGALI LEONELA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DOS SANTOS ANGEL GABRIEL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IGLESIAS WANDA ADALAY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KARUCHEK PEREYRA BRANDON EZEQUIEL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LOPEZ ELVIN LEONEL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MACIEL GOMEZ LIONEL NICOLAS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PADILLA JUNIOR EZEQUIEL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PATZER AXEL EMANUEL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RODRIGUEZ BRUNO SEBASTIAN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SCHUVARTZ MIGUEL MARCELO ARIEL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SILVERA ILLESCAS RAMIRO GONZALO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SILVERO GUADALUPE ITATI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STRIEDER MIA ANTONELLA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TOLEDO PEREZ MATIAS GABRIEL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VASCO TEXEIRA EMILIANA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VIDOTTOEMILY MILAGROS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VILLALBA LAUTARO DANIEL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WANDSCHEER ARMANDO NICOLAS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/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/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/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71" priority="7" operator="lessThanOrEqual">
      <formula>5.99</formula>
    </cfRule>
    <cfRule type="cellIs" dxfId="70" priority="8" operator="greaterThanOrEqual">
      <formula>6</formula>
    </cfRule>
  </conditionalFormatting>
  <conditionalFormatting sqref="L5:L36">
    <cfRule type="cellIs" dxfId="69" priority="5" operator="lessThanOrEqual">
      <formula>5.99</formula>
    </cfRule>
    <cfRule type="cellIs" dxfId="68" priority="6" operator="greaterThanOrEqual">
      <formula>6</formula>
    </cfRule>
  </conditionalFormatting>
  <conditionalFormatting sqref="Q5:Q36 S5:W36">
    <cfRule type="cellIs" dxfId="67" priority="3" operator="lessThanOrEqual">
      <formula>5.99</formula>
    </cfRule>
    <cfRule type="cellIs" dxfId="66" priority="4" operator="greaterThanOrEqual">
      <formula>6</formula>
    </cfRule>
  </conditionalFormatting>
  <conditionalFormatting sqref="R5:R36">
    <cfRule type="containsText" dxfId="65" priority="1" operator="containsText" text="5,99">
      <formula>NOT(ISERROR(SEARCH("5,99",R5)))</formula>
    </cfRule>
    <cfRule type="cellIs" dxfId="64" priority="2" operator="greaterThanOrEqual">
      <formula>6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F2731-66E2-4079-8B1E-36D36DF3F0EC}">
  <sheetPr codeName="Hoja28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26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27</v>
      </c>
      <c r="B2" s="29"/>
      <c r="C2" s="29" t="s">
        <v>28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35</v>
      </c>
      <c r="R2" s="16">
        <v>2024</v>
      </c>
      <c r="S2" s="8" t="s">
        <v>36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29</v>
      </c>
      <c r="B3" s="16" t="str">
        <f>Alumnos!B1</f>
        <v>1-A</v>
      </c>
      <c r="C3" s="29" t="s">
        <v>34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8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18</v>
      </c>
      <c r="B4" s="12" t="s">
        <v>19</v>
      </c>
      <c r="C4" s="29" t="s">
        <v>31</v>
      </c>
      <c r="D4" s="29"/>
      <c r="E4" s="29"/>
      <c r="F4" s="29"/>
      <c r="G4" s="17" t="s">
        <v>20</v>
      </c>
      <c r="H4" s="29" t="s">
        <v>32</v>
      </c>
      <c r="I4" s="29"/>
      <c r="J4" s="29"/>
      <c r="K4" s="29"/>
      <c r="L4" s="17" t="s">
        <v>20</v>
      </c>
      <c r="M4" s="29" t="s">
        <v>33</v>
      </c>
      <c r="N4" s="29"/>
      <c r="O4" s="29"/>
      <c r="P4" s="29"/>
      <c r="Q4" s="17" t="s">
        <v>20</v>
      </c>
      <c r="R4" s="17" t="s">
        <v>25</v>
      </c>
      <c r="S4" s="17" t="s">
        <v>21</v>
      </c>
      <c r="T4" s="17" t="s">
        <v>22</v>
      </c>
      <c r="U4" s="17" t="s">
        <v>41</v>
      </c>
      <c r="V4" s="17" t="s">
        <v>42</v>
      </c>
      <c r="W4" s="17" t="s">
        <v>23</v>
      </c>
    </row>
    <row r="5" spans="1:23" x14ac:dyDescent="0.25">
      <c r="A5" s="16">
        <f>Alumnos!A3</f>
        <v>1</v>
      </c>
      <c r="B5" s="11" t="str">
        <f>_xlfn.CONCAT(Alumnos!C3,Alumnos!D3)</f>
        <v>ARCE TIAGO ARIEL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AYALA CRISTIAN ORLANDO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BOGADO JONAS NATANIEL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BREZ PROCOPIO ANYELINA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BREZ PROCOPIO BRENDA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BRITEZ NAHIARA ANALIA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CACERES SOFIA MARIEL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CANEPPELE ELISANDRO MICAEL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CUELICHE FABRICIO TADEO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DA LUZ ALEX AGUSTIN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DA SILVA RUTH ABIGAIL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DORNEL MAGALI LEONELA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DOS SANTOS ANGEL GABRIEL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IGLESIAS WANDA ADALAY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KARUCHEK PEREYRA BRANDON EZEQUIEL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LOPEZ ELVIN LEONEL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MACIEL GOMEZ LIONEL NICOLAS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PADILLA JUNIOR EZEQUIEL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PATZER AXEL EMANUEL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RODRIGUEZ BRUNO SEBASTIAN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SCHUVARTZ MIGUEL MARCELO ARIEL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SILVERA ILLESCAS RAMIRO GONZALO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SILVERO GUADALUPE ITATI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STRIEDER MIA ANTONELLA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TOLEDO PEREZ MATIAS GABRIEL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VASCO TEXEIRA EMILIANA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VIDOTTOEMILY MILAGROS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VILLALBA LAUTARO DANIEL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WANDSCHEER ARMANDO NICOLAS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/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/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/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63" priority="7" operator="lessThanOrEqual">
      <formula>5.99</formula>
    </cfRule>
    <cfRule type="cellIs" dxfId="62" priority="8" operator="greaterThanOrEqual">
      <formula>6</formula>
    </cfRule>
  </conditionalFormatting>
  <conditionalFormatting sqref="L5:L36">
    <cfRule type="cellIs" dxfId="61" priority="5" operator="lessThanOrEqual">
      <formula>5.99</formula>
    </cfRule>
    <cfRule type="cellIs" dxfId="60" priority="6" operator="greaterThanOrEqual">
      <formula>6</formula>
    </cfRule>
  </conditionalFormatting>
  <conditionalFormatting sqref="Q5:Q36 S5:W36">
    <cfRule type="cellIs" dxfId="59" priority="3" operator="lessThanOrEqual">
      <formula>5.99</formula>
    </cfRule>
    <cfRule type="cellIs" dxfId="58" priority="4" operator="greaterThanOrEqual">
      <formula>6</formula>
    </cfRule>
  </conditionalFormatting>
  <conditionalFormatting sqref="R5:R36">
    <cfRule type="containsText" dxfId="57" priority="1" operator="containsText" text="5,99">
      <formula>NOT(ISERROR(SEARCH("5,99",R5)))</formula>
    </cfRule>
    <cfRule type="cellIs" dxfId="56" priority="2" operator="greaterThanOrEqual">
      <formula>6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E18C7-1BF4-42E6-BE86-D115A38FE52D}">
  <sheetPr codeName="Hoja29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26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27</v>
      </c>
      <c r="B2" s="29"/>
      <c r="C2" s="29" t="s">
        <v>28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35</v>
      </c>
      <c r="R2" s="16">
        <v>2024</v>
      </c>
      <c r="S2" s="8" t="s">
        <v>36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29</v>
      </c>
      <c r="B3" s="16" t="str">
        <f>Alumnos!B1</f>
        <v>1-A</v>
      </c>
      <c r="C3" s="29" t="s">
        <v>34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9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18</v>
      </c>
      <c r="B4" s="12" t="s">
        <v>19</v>
      </c>
      <c r="C4" s="29" t="s">
        <v>31</v>
      </c>
      <c r="D4" s="29"/>
      <c r="E4" s="29"/>
      <c r="F4" s="29"/>
      <c r="G4" s="17" t="s">
        <v>20</v>
      </c>
      <c r="H4" s="29" t="s">
        <v>32</v>
      </c>
      <c r="I4" s="29"/>
      <c r="J4" s="29"/>
      <c r="K4" s="29"/>
      <c r="L4" s="17" t="s">
        <v>20</v>
      </c>
      <c r="M4" s="29" t="s">
        <v>33</v>
      </c>
      <c r="N4" s="29"/>
      <c r="O4" s="29"/>
      <c r="P4" s="29"/>
      <c r="Q4" s="17" t="s">
        <v>20</v>
      </c>
      <c r="R4" s="17" t="s">
        <v>25</v>
      </c>
      <c r="S4" s="17" t="s">
        <v>21</v>
      </c>
      <c r="T4" s="17" t="s">
        <v>22</v>
      </c>
      <c r="U4" s="17" t="s">
        <v>41</v>
      </c>
      <c r="V4" s="17" t="s">
        <v>42</v>
      </c>
      <c r="W4" s="17" t="s">
        <v>23</v>
      </c>
    </row>
    <row r="5" spans="1:23" x14ac:dyDescent="0.25">
      <c r="A5" s="16">
        <f>Alumnos!A3</f>
        <v>1</v>
      </c>
      <c r="B5" s="11" t="str">
        <f>_xlfn.CONCAT(Alumnos!C3,Alumnos!D3)</f>
        <v>ARCE TIAGO ARIEL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AYALA CRISTIAN ORLANDO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BOGADO JONAS NATANIEL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BREZ PROCOPIO ANYELINA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BREZ PROCOPIO BRENDA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BRITEZ NAHIARA ANALIA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CACERES SOFIA MARIEL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CANEPPELE ELISANDRO MICAEL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CUELICHE FABRICIO TADEO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DA LUZ ALEX AGUSTIN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DA SILVA RUTH ABIGAIL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DORNEL MAGALI LEONELA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DOS SANTOS ANGEL GABRIEL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IGLESIAS WANDA ADALAY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KARUCHEK PEREYRA BRANDON EZEQUIEL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LOPEZ ELVIN LEONEL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MACIEL GOMEZ LIONEL NICOLAS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PADILLA JUNIOR EZEQUIEL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PATZER AXEL EMANUEL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RODRIGUEZ BRUNO SEBASTIAN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SCHUVARTZ MIGUEL MARCELO ARIEL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SILVERA ILLESCAS RAMIRO GONZALO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SILVERO GUADALUPE ITATI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STRIEDER MIA ANTONELLA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TOLEDO PEREZ MATIAS GABRIEL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VASCO TEXEIRA EMILIANA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VIDOTTOEMILY MILAGROS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VILLALBA LAUTARO DANIEL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WANDSCHEER ARMANDO NICOLAS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/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/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/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55" priority="7" operator="lessThanOrEqual">
      <formula>5.99</formula>
    </cfRule>
    <cfRule type="cellIs" dxfId="54" priority="8" operator="greaterThanOrEqual">
      <formula>6</formula>
    </cfRule>
  </conditionalFormatting>
  <conditionalFormatting sqref="L5:L36">
    <cfRule type="cellIs" dxfId="53" priority="5" operator="lessThanOrEqual">
      <formula>5.99</formula>
    </cfRule>
    <cfRule type="cellIs" dxfId="52" priority="6" operator="greaterThanOrEqual">
      <formula>6</formula>
    </cfRule>
  </conditionalFormatting>
  <conditionalFormatting sqref="Q5:Q36 S5:W36">
    <cfRule type="cellIs" dxfId="51" priority="3" operator="lessThanOrEqual">
      <formula>5.99</formula>
    </cfRule>
    <cfRule type="cellIs" dxfId="50" priority="4" operator="greaterThanOrEqual">
      <formula>6</formula>
    </cfRule>
  </conditionalFormatting>
  <conditionalFormatting sqref="R5:R36">
    <cfRule type="containsText" dxfId="49" priority="1" operator="containsText" text="5,99">
      <formula>NOT(ISERROR(SEARCH("5,99",R5)))</formula>
    </cfRule>
    <cfRule type="cellIs" dxfId="48" priority="2" operator="greaterThanOrEqual">
      <formula>6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2C654-E47F-481D-B717-262547B4BA2A}">
  <sheetPr codeName="Hoja30"/>
  <dimension ref="A1:W36"/>
  <sheetViews>
    <sheetView showGridLines="0" workbookViewId="0">
      <selection activeCell="C6" sqref="C6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26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27</v>
      </c>
      <c r="B2" s="29"/>
      <c r="C2" s="29" t="s">
        <v>28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35</v>
      </c>
      <c r="R2" s="16">
        <v>2024</v>
      </c>
      <c r="S2" s="8" t="s">
        <v>36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29</v>
      </c>
      <c r="B3" s="16" t="str">
        <f>Alumnos!B1</f>
        <v>1-A</v>
      </c>
      <c r="C3" s="29" t="s">
        <v>34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10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18</v>
      </c>
      <c r="B4" s="12" t="s">
        <v>19</v>
      </c>
      <c r="C4" s="29" t="s">
        <v>31</v>
      </c>
      <c r="D4" s="29"/>
      <c r="E4" s="29"/>
      <c r="F4" s="29"/>
      <c r="G4" s="17" t="s">
        <v>20</v>
      </c>
      <c r="H4" s="29" t="s">
        <v>32</v>
      </c>
      <c r="I4" s="29"/>
      <c r="J4" s="29"/>
      <c r="K4" s="29"/>
      <c r="L4" s="17" t="s">
        <v>20</v>
      </c>
      <c r="M4" s="29" t="s">
        <v>33</v>
      </c>
      <c r="N4" s="29"/>
      <c r="O4" s="29"/>
      <c r="P4" s="29"/>
      <c r="Q4" s="17" t="s">
        <v>20</v>
      </c>
      <c r="R4" s="17" t="s">
        <v>25</v>
      </c>
      <c r="S4" s="17" t="s">
        <v>21</v>
      </c>
      <c r="T4" s="17" t="s">
        <v>22</v>
      </c>
      <c r="U4" s="17" t="s">
        <v>41</v>
      </c>
      <c r="V4" s="17" t="s">
        <v>42</v>
      </c>
      <c r="W4" s="17" t="s">
        <v>23</v>
      </c>
    </row>
    <row r="5" spans="1:23" x14ac:dyDescent="0.25">
      <c r="A5" s="16">
        <f>Alumnos!A3</f>
        <v>1</v>
      </c>
      <c r="B5" s="11" t="str">
        <f>_xlfn.CONCAT(Alumnos!C3,Alumnos!D3)</f>
        <v>ARCE TIAGO ARIEL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AYALA CRISTIAN ORLANDO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BOGADO JONAS NATANIEL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BREZ PROCOPIO ANYELINA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BREZ PROCOPIO BRENDA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BRITEZ NAHIARA ANALIA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CACERES SOFIA MARIEL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CANEPPELE ELISANDRO MICAEL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CUELICHE FABRICIO TADEO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DA LUZ ALEX AGUSTIN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DA SILVA RUTH ABIGAIL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DORNEL MAGALI LEONELA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DOS SANTOS ANGEL GABRIEL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IGLESIAS WANDA ADALAY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KARUCHEK PEREYRA BRANDON EZEQUIEL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LOPEZ ELVIN LEONEL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MACIEL GOMEZ LIONEL NICOLAS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PADILLA JUNIOR EZEQUIEL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PATZER AXEL EMANUEL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RODRIGUEZ BRUNO SEBASTIAN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SCHUVARTZ MIGUEL MARCELO ARIEL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SILVERA ILLESCAS RAMIRO GONZALO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SILVERO GUADALUPE ITATI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STRIEDER MIA ANTONELLA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TOLEDO PEREZ MATIAS GABRIEL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VASCO TEXEIRA EMILIANA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VIDOTTOEMILY MILAGROS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VILLALBA LAUTARO DANIEL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WANDSCHEER ARMANDO NICOLAS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/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/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/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47" priority="7" operator="lessThanOrEqual">
      <formula>5.99</formula>
    </cfRule>
    <cfRule type="cellIs" dxfId="46" priority="8" operator="greaterThanOrEqual">
      <formula>6</formula>
    </cfRule>
  </conditionalFormatting>
  <conditionalFormatting sqref="L5:L36">
    <cfRule type="cellIs" dxfId="45" priority="5" operator="lessThanOrEqual">
      <formula>5.99</formula>
    </cfRule>
    <cfRule type="cellIs" dxfId="44" priority="6" operator="greaterThanOrEqual">
      <formula>6</formula>
    </cfRule>
  </conditionalFormatting>
  <conditionalFormatting sqref="Q5:Q36 S5:W36">
    <cfRule type="cellIs" dxfId="43" priority="3" operator="lessThanOrEqual">
      <formula>5.99</formula>
    </cfRule>
    <cfRule type="cellIs" dxfId="42" priority="4" operator="greaterThanOrEqual">
      <formula>6</formula>
    </cfRule>
  </conditionalFormatting>
  <conditionalFormatting sqref="R5:R36">
    <cfRule type="containsText" dxfId="41" priority="1" operator="containsText" text="5,99">
      <formula>NOT(ISERROR(SEARCH("5,99",R5)))</formula>
    </cfRule>
    <cfRule type="cellIs" dxfId="40" priority="2" operator="greaterThanOrEqual">
      <formula>6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8D82F-34D1-4C90-8887-91C7D6E640FE}">
  <sheetPr codeName="Hoja31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26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27</v>
      </c>
      <c r="B2" s="29"/>
      <c r="C2" s="29" t="s">
        <v>28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35</v>
      </c>
      <c r="R2" s="16">
        <v>2024</v>
      </c>
      <c r="S2" s="8" t="s">
        <v>36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29</v>
      </c>
      <c r="B3" s="16" t="str">
        <f>Alumnos!B1</f>
        <v>1-A</v>
      </c>
      <c r="C3" s="29" t="s">
        <v>34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11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18</v>
      </c>
      <c r="B4" s="12" t="s">
        <v>19</v>
      </c>
      <c r="C4" s="29" t="s">
        <v>31</v>
      </c>
      <c r="D4" s="29"/>
      <c r="E4" s="29"/>
      <c r="F4" s="29"/>
      <c r="G4" s="17" t="s">
        <v>20</v>
      </c>
      <c r="H4" s="29" t="s">
        <v>32</v>
      </c>
      <c r="I4" s="29"/>
      <c r="J4" s="29"/>
      <c r="K4" s="29"/>
      <c r="L4" s="17" t="s">
        <v>20</v>
      </c>
      <c r="M4" s="29" t="s">
        <v>33</v>
      </c>
      <c r="N4" s="29"/>
      <c r="O4" s="29"/>
      <c r="P4" s="29"/>
      <c r="Q4" s="17" t="s">
        <v>20</v>
      </c>
      <c r="R4" s="17" t="s">
        <v>25</v>
      </c>
      <c r="S4" s="17" t="s">
        <v>21</v>
      </c>
      <c r="T4" s="17" t="s">
        <v>22</v>
      </c>
      <c r="U4" s="17" t="s">
        <v>41</v>
      </c>
      <c r="V4" s="17" t="s">
        <v>42</v>
      </c>
      <c r="W4" s="17" t="s">
        <v>23</v>
      </c>
    </row>
    <row r="5" spans="1:23" x14ac:dyDescent="0.25">
      <c r="A5" s="16">
        <f>Alumnos!A3</f>
        <v>1</v>
      </c>
      <c r="B5" s="11" t="str">
        <f>_xlfn.CONCAT(Alumnos!C3,Alumnos!D3)</f>
        <v>ARCE TIAGO ARIEL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AYALA CRISTIAN ORLANDO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BOGADO JONAS NATANIEL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BREZ PROCOPIO ANYELINA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BREZ PROCOPIO BRENDA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BRITEZ NAHIARA ANALIA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CACERES SOFIA MARIEL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CANEPPELE ELISANDRO MICAEL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CUELICHE FABRICIO TADEO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DA LUZ ALEX AGUSTIN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DA SILVA RUTH ABIGAIL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DORNEL MAGALI LEONELA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DOS SANTOS ANGEL GABRIEL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IGLESIAS WANDA ADALAY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KARUCHEK PEREYRA BRANDON EZEQUIEL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LOPEZ ELVIN LEONEL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MACIEL GOMEZ LIONEL NICOLAS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PADILLA JUNIOR EZEQUIEL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PATZER AXEL EMANUEL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RODRIGUEZ BRUNO SEBASTIAN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SCHUVARTZ MIGUEL MARCELO ARIEL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SILVERA ILLESCAS RAMIRO GONZALO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SILVERO GUADALUPE ITATI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STRIEDER MIA ANTONELLA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TOLEDO PEREZ MATIAS GABRIEL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VASCO TEXEIRA EMILIANA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VIDOTTOEMILY MILAGROS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VILLALBA LAUTARO DANIEL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WANDSCHEER ARMANDO NICOLAS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/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/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/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39" priority="7" operator="lessThanOrEqual">
      <formula>5.99</formula>
    </cfRule>
    <cfRule type="cellIs" dxfId="38" priority="8" operator="greaterThanOrEqual">
      <formula>6</formula>
    </cfRule>
  </conditionalFormatting>
  <conditionalFormatting sqref="L5:L36">
    <cfRule type="cellIs" dxfId="37" priority="5" operator="lessThanOrEqual">
      <formula>5.99</formula>
    </cfRule>
    <cfRule type="cellIs" dxfId="36" priority="6" operator="greaterThanOrEqual">
      <formula>6</formula>
    </cfRule>
  </conditionalFormatting>
  <conditionalFormatting sqref="Q5:Q36 S5:W36">
    <cfRule type="cellIs" dxfId="35" priority="3" operator="lessThanOrEqual">
      <formula>5.99</formula>
    </cfRule>
    <cfRule type="cellIs" dxfId="34" priority="4" operator="greaterThanOrEqual">
      <formula>6</formula>
    </cfRule>
  </conditionalFormatting>
  <conditionalFormatting sqref="R5:R36">
    <cfRule type="containsText" dxfId="33" priority="1" operator="containsText" text="5,99">
      <formula>NOT(ISERROR(SEARCH("5,99",R5)))</formula>
    </cfRule>
    <cfRule type="cellIs" dxfId="32" priority="2" operator="greaterThanOrEqual">
      <formula>6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586D9-0C5A-42E3-9793-DF0A088EFB43}">
  <sheetPr codeName="Hoja32"/>
  <dimension ref="A1:W36"/>
  <sheetViews>
    <sheetView showGridLines="0" workbookViewId="0">
      <selection activeCell="R5" sqref="R5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26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27</v>
      </c>
      <c r="B2" s="29"/>
      <c r="C2" s="29" t="s">
        <v>28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35</v>
      </c>
      <c r="R2" s="16">
        <v>2024</v>
      </c>
      <c r="S2" s="8" t="s">
        <v>36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29</v>
      </c>
      <c r="B3" s="16" t="str">
        <f>Alumnos!B1</f>
        <v>1-A</v>
      </c>
      <c r="C3" s="29" t="s">
        <v>34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12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18</v>
      </c>
      <c r="B4" s="12" t="s">
        <v>19</v>
      </c>
      <c r="C4" s="29" t="s">
        <v>31</v>
      </c>
      <c r="D4" s="29"/>
      <c r="E4" s="29"/>
      <c r="F4" s="29"/>
      <c r="G4" s="17" t="s">
        <v>20</v>
      </c>
      <c r="H4" s="29" t="s">
        <v>32</v>
      </c>
      <c r="I4" s="29"/>
      <c r="J4" s="29"/>
      <c r="K4" s="29"/>
      <c r="L4" s="17" t="s">
        <v>20</v>
      </c>
      <c r="M4" s="29" t="s">
        <v>33</v>
      </c>
      <c r="N4" s="29"/>
      <c r="O4" s="29"/>
      <c r="P4" s="29"/>
      <c r="Q4" s="17" t="s">
        <v>20</v>
      </c>
      <c r="R4" s="17" t="s">
        <v>25</v>
      </c>
      <c r="S4" s="17" t="s">
        <v>21</v>
      </c>
      <c r="T4" s="17" t="s">
        <v>22</v>
      </c>
      <c r="U4" s="17" t="s">
        <v>41</v>
      </c>
      <c r="V4" s="17" t="s">
        <v>42</v>
      </c>
      <c r="W4" s="17" t="s">
        <v>23</v>
      </c>
    </row>
    <row r="5" spans="1:23" x14ac:dyDescent="0.25">
      <c r="A5" s="16">
        <f>Alumnos!A3</f>
        <v>1</v>
      </c>
      <c r="B5" s="11" t="str">
        <f>_xlfn.CONCAT(Alumnos!C3,Alumnos!D3)</f>
        <v>ARCE TIAGO ARIEL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AYALA CRISTIAN ORLANDO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BOGADO JONAS NATANIEL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BREZ PROCOPIO ANYELINA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BREZ PROCOPIO BRENDA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BRITEZ NAHIARA ANALIA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CACERES SOFIA MARIEL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CANEPPELE ELISANDRO MICAEL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CUELICHE FABRICIO TADEO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DA LUZ ALEX AGUSTIN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DA SILVA RUTH ABIGAIL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DORNEL MAGALI LEONELA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DOS SANTOS ANGEL GABRIEL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IGLESIAS WANDA ADALAY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KARUCHEK PEREYRA BRANDON EZEQUIEL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LOPEZ ELVIN LEONEL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MACIEL GOMEZ LIONEL NICOLAS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PADILLA JUNIOR EZEQUIEL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PATZER AXEL EMANUEL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RODRIGUEZ BRUNO SEBASTIAN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SCHUVARTZ MIGUEL MARCELO ARIEL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SILVERA ILLESCAS RAMIRO GONZALO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SILVERO GUADALUPE ITATI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STRIEDER MIA ANTONELLA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TOLEDO PEREZ MATIAS GABRIEL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VASCO TEXEIRA EMILIANA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VIDOTTOEMILY MILAGROS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VILLALBA LAUTARO DANIEL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WANDSCHEER ARMANDO NICOLAS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/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/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/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31" priority="7" operator="lessThanOrEqual">
      <formula>5.99</formula>
    </cfRule>
    <cfRule type="cellIs" dxfId="30" priority="8" operator="greaterThanOrEqual">
      <formula>6</formula>
    </cfRule>
  </conditionalFormatting>
  <conditionalFormatting sqref="L5:L36">
    <cfRule type="cellIs" dxfId="29" priority="5" operator="lessThanOrEqual">
      <formula>5.99</formula>
    </cfRule>
    <cfRule type="cellIs" dxfId="28" priority="6" operator="greaterThanOrEqual">
      <formula>6</formula>
    </cfRule>
  </conditionalFormatting>
  <conditionalFormatting sqref="Q5:Q36 S5:W36">
    <cfRule type="cellIs" dxfId="27" priority="3" operator="lessThanOrEqual">
      <formula>5.99</formula>
    </cfRule>
    <cfRule type="cellIs" dxfId="26" priority="4" operator="greaterThanOrEqual">
      <formula>6</formula>
    </cfRule>
  </conditionalFormatting>
  <conditionalFormatting sqref="R5:R36">
    <cfRule type="containsText" dxfId="25" priority="1" operator="containsText" text="5,99">
      <formula>NOT(ISERROR(SEARCH("5,99",R5)))</formula>
    </cfRule>
    <cfRule type="cellIs" dxfId="24" priority="2" operator="greaterThanOrEqual">
      <formula>6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225E3-96DA-495D-A74D-D70B82802B43}">
  <sheetPr codeName="Hoja33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26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27</v>
      </c>
      <c r="B2" s="29"/>
      <c r="C2" s="29" t="s">
        <v>28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35</v>
      </c>
      <c r="R2" s="16">
        <v>2024</v>
      </c>
      <c r="S2" s="8" t="s">
        <v>36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29</v>
      </c>
      <c r="B3" s="16" t="str">
        <f>Alumnos!B1</f>
        <v>1-A</v>
      </c>
      <c r="C3" s="29" t="s">
        <v>34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13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18</v>
      </c>
      <c r="B4" s="12" t="s">
        <v>19</v>
      </c>
      <c r="C4" s="29" t="s">
        <v>31</v>
      </c>
      <c r="D4" s="29"/>
      <c r="E4" s="29"/>
      <c r="F4" s="29"/>
      <c r="G4" s="17" t="s">
        <v>20</v>
      </c>
      <c r="H4" s="29" t="s">
        <v>32</v>
      </c>
      <c r="I4" s="29"/>
      <c r="J4" s="29"/>
      <c r="K4" s="29"/>
      <c r="L4" s="17" t="s">
        <v>20</v>
      </c>
      <c r="M4" s="29" t="s">
        <v>33</v>
      </c>
      <c r="N4" s="29"/>
      <c r="O4" s="29"/>
      <c r="P4" s="29"/>
      <c r="Q4" s="17" t="s">
        <v>20</v>
      </c>
      <c r="R4" s="17" t="s">
        <v>25</v>
      </c>
      <c r="S4" s="17" t="s">
        <v>21</v>
      </c>
      <c r="T4" s="17" t="s">
        <v>22</v>
      </c>
      <c r="U4" s="17" t="s">
        <v>41</v>
      </c>
      <c r="V4" s="17" t="s">
        <v>42</v>
      </c>
      <c r="W4" s="17" t="s">
        <v>23</v>
      </c>
    </row>
    <row r="5" spans="1:23" x14ac:dyDescent="0.25">
      <c r="A5" s="16">
        <f>Alumnos!A3</f>
        <v>1</v>
      </c>
      <c r="B5" s="11" t="str">
        <f>_xlfn.CONCAT(Alumnos!C3,Alumnos!D3)</f>
        <v>ARCE TIAGO ARIEL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AYALA CRISTIAN ORLANDO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BOGADO JONAS NATANIEL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BREZ PROCOPIO ANYELINA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BREZ PROCOPIO BRENDA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BRITEZ NAHIARA ANALIA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CACERES SOFIA MARIEL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CANEPPELE ELISANDRO MICAEL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CUELICHE FABRICIO TADEO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DA LUZ ALEX AGUSTIN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DA SILVA RUTH ABIGAIL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DORNEL MAGALI LEONELA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DOS SANTOS ANGEL GABRIEL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IGLESIAS WANDA ADALAY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KARUCHEK PEREYRA BRANDON EZEQUIEL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LOPEZ ELVIN LEONEL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MACIEL GOMEZ LIONEL NICOLAS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PADILLA JUNIOR EZEQUIEL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PATZER AXEL EMANUEL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RODRIGUEZ BRUNO SEBASTIAN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SCHUVARTZ MIGUEL MARCELO ARIEL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SILVERA ILLESCAS RAMIRO GONZALO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SILVERO GUADALUPE ITATI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STRIEDER MIA ANTONELLA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TOLEDO PEREZ MATIAS GABRIEL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VASCO TEXEIRA EMILIANA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VIDOTTOEMILY MILAGROS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VILLALBA LAUTARO DANIEL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WANDSCHEER ARMANDO NICOLAS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/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/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/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23" priority="7" operator="lessThanOrEqual">
      <formula>5.99</formula>
    </cfRule>
    <cfRule type="cellIs" dxfId="22" priority="8" operator="greaterThanOrEqual">
      <formula>6</formula>
    </cfRule>
  </conditionalFormatting>
  <conditionalFormatting sqref="L5:L36">
    <cfRule type="cellIs" dxfId="21" priority="5" operator="lessThanOrEqual">
      <formula>5.99</formula>
    </cfRule>
    <cfRule type="cellIs" dxfId="20" priority="6" operator="greaterThanOrEqual">
      <formula>6</formula>
    </cfRule>
  </conditionalFormatting>
  <conditionalFormatting sqref="Q5:Q36 S5:W36">
    <cfRule type="cellIs" dxfId="19" priority="3" operator="lessThanOrEqual">
      <formula>5.99</formula>
    </cfRule>
    <cfRule type="cellIs" dxfId="18" priority="4" operator="greaterThanOrEqual">
      <formula>6</formula>
    </cfRule>
  </conditionalFormatting>
  <conditionalFormatting sqref="R5:R36">
    <cfRule type="containsText" dxfId="17" priority="1" operator="containsText" text="5,99">
      <formula>NOT(ISERROR(SEARCH("5,99",R5)))</formula>
    </cfRule>
    <cfRule type="cellIs" dxfId="16" priority="2" operator="greaterThanOrEqual">
      <formula>6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41D0D-8944-467E-B8DF-02B51EA95D77}">
  <sheetPr codeName="Hoja34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26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27</v>
      </c>
      <c r="B2" s="29"/>
      <c r="C2" s="29" t="s">
        <v>28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35</v>
      </c>
      <c r="R2" s="16">
        <v>2024</v>
      </c>
      <c r="S2" s="8" t="s">
        <v>36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29</v>
      </c>
      <c r="B3" s="16" t="str">
        <f>Alumnos!B1</f>
        <v>1-A</v>
      </c>
      <c r="C3" s="29" t="s">
        <v>34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14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18</v>
      </c>
      <c r="B4" s="12" t="s">
        <v>19</v>
      </c>
      <c r="C4" s="29" t="s">
        <v>31</v>
      </c>
      <c r="D4" s="29"/>
      <c r="E4" s="29"/>
      <c r="F4" s="29"/>
      <c r="G4" s="17" t="s">
        <v>20</v>
      </c>
      <c r="H4" s="29" t="s">
        <v>32</v>
      </c>
      <c r="I4" s="29"/>
      <c r="J4" s="29"/>
      <c r="K4" s="29"/>
      <c r="L4" s="17" t="s">
        <v>20</v>
      </c>
      <c r="M4" s="29" t="s">
        <v>33</v>
      </c>
      <c r="N4" s="29"/>
      <c r="O4" s="29"/>
      <c r="P4" s="29"/>
      <c r="Q4" s="17" t="s">
        <v>20</v>
      </c>
      <c r="R4" s="17" t="s">
        <v>25</v>
      </c>
      <c r="S4" s="17" t="s">
        <v>21</v>
      </c>
      <c r="T4" s="17" t="s">
        <v>22</v>
      </c>
      <c r="U4" s="17" t="s">
        <v>41</v>
      </c>
      <c r="V4" s="17" t="s">
        <v>42</v>
      </c>
      <c r="W4" s="17" t="s">
        <v>23</v>
      </c>
    </row>
    <row r="5" spans="1:23" x14ac:dyDescent="0.25">
      <c r="A5" s="16">
        <f>Alumnos!A3</f>
        <v>1</v>
      </c>
      <c r="B5" s="11" t="str">
        <f>_xlfn.CONCAT(Alumnos!C3,Alumnos!D3)</f>
        <v>ARCE TIAGO ARIEL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AYALA CRISTIAN ORLANDO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BOGADO JONAS NATANIEL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BREZ PROCOPIO ANYELINA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BREZ PROCOPIO BRENDA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BRITEZ NAHIARA ANALIA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CACERES SOFIA MARIEL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CANEPPELE ELISANDRO MICAEL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CUELICHE FABRICIO TADEO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DA LUZ ALEX AGUSTIN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DA SILVA RUTH ABIGAIL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DORNEL MAGALI LEONELA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DOS SANTOS ANGEL GABRIEL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IGLESIAS WANDA ADALAY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KARUCHEK PEREYRA BRANDON EZEQUIEL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LOPEZ ELVIN LEONEL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MACIEL GOMEZ LIONEL NICOLAS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PADILLA JUNIOR EZEQUIEL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PATZER AXEL EMANUEL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RODRIGUEZ BRUNO SEBASTIAN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SCHUVARTZ MIGUEL MARCELO ARIEL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SILVERA ILLESCAS RAMIRO GONZALO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SILVERO GUADALUPE ITATI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STRIEDER MIA ANTONELLA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TOLEDO PEREZ MATIAS GABRIEL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VASCO TEXEIRA EMILIANA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VIDOTTOEMILY MILAGROS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VILLALBA LAUTARO DANIEL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WANDSCHEER ARMANDO NICOLAS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/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/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/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15" priority="7" operator="lessThanOrEqual">
      <formula>5.99</formula>
    </cfRule>
    <cfRule type="cellIs" dxfId="14" priority="8" operator="greaterThanOrEqual">
      <formula>6</formula>
    </cfRule>
  </conditionalFormatting>
  <conditionalFormatting sqref="L5:L36">
    <cfRule type="cellIs" dxfId="13" priority="5" operator="lessThanOrEqual">
      <formula>5.99</formula>
    </cfRule>
    <cfRule type="cellIs" dxfId="12" priority="6" operator="greaterThanOrEqual">
      <formula>6</formula>
    </cfRule>
  </conditionalFormatting>
  <conditionalFormatting sqref="Q5:Q36 S5:W36">
    <cfRule type="cellIs" dxfId="11" priority="3" operator="lessThanOrEqual">
      <formula>5.99</formula>
    </cfRule>
    <cfRule type="cellIs" dxfId="10" priority="4" operator="greaterThanOrEqual">
      <formula>6</formula>
    </cfRule>
  </conditionalFormatting>
  <conditionalFormatting sqref="R5:R36">
    <cfRule type="containsText" dxfId="9" priority="1" operator="containsText" text="5,99">
      <formula>NOT(ISERROR(SEARCH("5,99",R5)))</formula>
    </cfRule>
    <cfRule type="cellIs" dxfId="8" priority="2" operator="greaterThanOrEqual">
      <formula>6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95A6E-712C-4A20-B2FF-0D46C6F5867F}">
  <sheetPr codeName="Hoja35"/>
  <dimension ref="A1:W36"/>
  <sheetViews>
    <sheetView showGridLines="0" tabSelected="1" workbookViewId="0">
      <selection activeCell="L36" sqref="L36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26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27</v>
      </c>
      <c r="B2" s="29"/>
      <c r="C2" s="29" t="s">
        <v>28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35</v>
      </c>
      <c r="R2" s="16">
        <v>2024</v>
      </c>
      <c r="S2" s="8" t="s">
        <v>36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29</v>
      </c>
      <c r="B3" s="16" t="str">
        <f>Alumnos!B1</f>
        <v>1-A</v>
      </c>
      <c r="C3" s="29" t="s">
        <v>34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15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18</v>
      </c>
      <c r="B4" s="12" t="s">
        <v>19</v>
      </c>
      <c r="C4" s="29" t="s">
        <v>31</v>
      </c>
      <c r="D4" s="29"/>
      <c r="E4" s="29"/>
      <c r="F4" s="29"/>
      <c r="G4" s="17" t="s">
        <v>20</v>
      </c>
      <c r="H4" s="29" t="s">
        <v>32</v>
      </c>
      <c r="I4" s="29"/>
      <c r="J4" s="29"/>
      <c r="K4" s="29"/>
      <c r="L4" s="17" t="s">
        <v>20</v>
      </c>
      <c r="M4" s="29" t="s">
        <v>33</v>
      </c>
      <c r="N4" s="29"/>
      <c r="O4" s="29"/>
      <c r="P4" s="29"/>
      <c r="Q4" s="17" t="s">
        <v>20</v>
      </c>
      <c r="R4" s="17" t="s">
        <v>25</v>
      </c>
      <c r="S4" s="17" t="s">
        <v>21</v>
      </c>
      <c r="T4" s="17" t="s">
        <v>22</v>
      </c>
      <c r="U4" s="17" t="s">
        <v>41</v>
      </c>
      <c r="V4" s="17" t="s">
        <v>42</v>
      </c>
      <c r="W4" s="17" t="s">
        <v>23</v>
      </c>
    </row>
    <row r="5" spans="1:23" x14ac:dyDescent="0.25">
      <c r="A5" s="16">
        <f>Alumnos!A3</f>
        <v>1</v>
      </c>
      <c r="B5" s="11" t="str">
        <f>_xlfn.CONCAT(Alumnos!C3,Alumnos!D3)</f>
        <v>ARCE TIAGO ARIEL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AYALA CRISTIAN ORLANDO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BOGADO JONAS NATANIEL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BREZ PROCOPIO ANYELINA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BREZ PROCOPIO BRENDA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BRITEZ NAHIARA ANALIA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CACERES SOFIA MARIEL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CANEPPELE ELISANDRO MICAEL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CUELICHE FABRICIO TADEO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DA LUZ ALEX AGUSTIN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DA SILVA RUTH ABIGAIL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DORNEL MAGALI LEONELA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DOS SANTOS ANGEL GABRIEL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IGLESIAS WANDA ADALAY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KARUCHEK PEREYRA BRANDON EZEQUIEL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LOPEZ ELVIN LEONEL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MACIEL GOMEZ LIONEL NICOLAS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PADILLA JUNIOR EZEQUIEL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PATZER AXEL EMANUEL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RODRIGUEZ BRUNO SEBASTIAN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SCHUVARTZ MIGUEL MARCELO ARIEL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SILVERA ILLESCAS RAMIRO GONZALO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SILVERO GUADALUPE ITATI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STRIEDER MIA ANTONELLA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TOLEDO PEREZ MATIAS GABRIEL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VASCO TEXEIRA EMILIANA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VIDOTTOEMILY MILAGROS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VILLALBA LAUTARO DANIEL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WANDSCHEER ARMANDO NICOLAS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/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/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/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7" priority="7" operator="lessThanOrEqual">
      <formula>5.99</formula>
    </cfRule>
    <cfRule type="cellIs" dxfId="6" priority="8" operator="greaterThanOrEqual">
      <formula>6</formula>
    </cfRule>
  </conditionalFormatting>
  <conditionalFormatting sqref="L5:L36">
    <cfRule type="cellIs" dxfId="5" priority="5" operator="lessThanOrEqual">
      <formula>5.99</formula>
    </cfRule>
    <cfRule type="cellIs" dxfId="4" priority="6" operator="greaterThanOrEqual">
      <formula>6</formula>
    </cfRule>
  </conditionalFormatting>
  <conditionalFormatting sqref="Q5:Q36 S5:W36">
    <cfRule type="cellIs" dxfId="3" priority="3" operator="lessThanOrEqual">
      <formula>5.99</formula>
    </cfRule>
    <cfRule type="cellIs" dxfId="2" priority="4" operator="greaterThanOrEqual">
      <formula>6</formula>
    </cfRule>
  </conditionalFormatting>
  <conditionalFormatting sqref="R5:R36">
    <cfRule type="containsText" dxfId="1" priority="1" operator="containsText" text="5,99">
      <formula>NOT(ISERROR(SEARCH("5,99",R5)))</formula>
    </cfRule>
    <cfRule type="cellIs" dxfId="0" priority="2" operator="greaterThanOrEqual">
      <formula>6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22</vt:i4>
      </vt:variant>
    </vt:vector>
  </HeadingPairs>
  <TitlesOfParts>
    <vt:vector size="22" baseType="lpstr">
      <vt:lpstr>T3</vt:lpstr>
      <vt:lpstr>T2</vt:lpstr>
      <vt:lpstr>T1</vt:lpstr>
      <vt:lpstr>Alumnos</vt:lpstr>
      <vt:lpstr>Materias</vt:lpstr>
      <vt:lpstr>Plantilla</vt:lpstr>
      <vt:lpstr>Lengua</vt:lpstr>
      <vt:lpstr>Lengua Extranjera</vt:lpstr>
      <vt:lpstr>Geografía</vt:lpstr>
      <vt:lpstr>Historia</vt:lpstr>
      <vt:lpstr>Formación Ética y Ciudadana</vt:lpstr>
      <vt:lpstr>Educación Física</vt:lpstr>
      <vt:lpstr>Matemática I</vt:lpstr>
      <vt:lpstr>Biología I</vt:lpstr>
      <vt:lpstr>Dibujo Técnico I</vt:lpstr>
      <vt:lpstr>Tecnología I</vt:lpstr>
      <vt:lpstr>Taller Electricidad I</vt:lpstr>
      <vt:lpstr>Taller Carpintería I</vt:lpstr>
      <vt:lpstr>Taller Hojalatería</vt:lpstr>
      <vt:lpstr>Taller Ajuste Mecánico</vt:lpstr>
      <vt:lpstr>Taller Informática I</vt:lpstr>
      <vt:lpstr>Taller Construcciones 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Yony</dc:creator>
  <cp:lastModifiedBy>Yony</cp:lastModifiedBy>
  <dcterms:created xsi:type="dcterms:W3CDTF">2015-06-05T18:17:20Z</dcterms:created>
  <dcterms:modified xsi:type="dcterms:W3CDTF">2024-05-23T00:59:03Z</dcterms:modified>
</cp:coreProperties>
</file>