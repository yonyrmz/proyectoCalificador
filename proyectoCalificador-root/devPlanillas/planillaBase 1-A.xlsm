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28" codeName="{0C22EB29-47C3-4687-6F23-2E4FB7F3DB4D}"/>
  <workbookPr codeName="ThisWorkbook"/>
  <mc:AlternateContent xmlns:mc="http://schemas.openxmlformats.org/markup-compatibility/2006">
    <mc:Choice Requires="x15">
      <x15ac:absPath xmlns:x15ac="http://schemas.microsoft.com/office/spreadsheetml/2010/11/ac" url="G:\gitProjects\proyectoCalificador\proyectoCalificador-root\devPlanillas\"/>
    </mc:Choice>
  </mc:AlternateContent>
  <xr:revisionPtr revIDLastSave="0" documentId="13_ncr:1_{C46F4507-DA90-435E-A0C1-B6D9D848138F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Alumnos" sheetId="21" r:id="rId1"/>
    <sheet name="Materias" sheetId="20" r:id="rId2"/>
    <sheet name="Plantilla" sheetId="1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" i="19" l="1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W31" i="19"/>
  <c r="W32" i="19"/>
  <c r="W33" i="19"/>
  <c r="W34" i="19"/>
  <c r="W35" i="19"/>
  <c r="W36" i="19"/>
  <c r="T2" i="19"/>
  <c r="U6" i="19"/>
  <c r="V6" i="19"/>
  <c r="U7" i="19"/>
  <c r="V7" i="19"/>
  <c r="U8" i="19"/>
  <c r="V8" i="19"/>
  <c r="U9" i="19"/>
  <c r="V9" i="19"/>
  <c r="U10" i="19"/>
  <c r="V10" i="19"/>
  <c r="U11" i="19"/>
  <c r="V11" i="19"/>
  <c r="U12" i="19"/>
  <c r="V12" i="19"/>
  <c r="U13" i="19"/>
  <c r="V13" i="19"/>
  <c r="U14" i="19"/>
  <c r="V14" i="19"/>
  <c r="U15" i="19"/>
  <c r="V15" i="19"/>
  <c r="U16" i="19"/>
  <c r="V16" i="19"/>
  <c r="U17" i="19"/>
  <c r="V17" i="19"/>
  <c r="U18" i="19"/>
  <c r="V18" i="19"/>
  <c r="U19" i="19"/>
  <c r="V19" i="19"/>
  <c r="U20" i="19"/>
  <c r="V20" i="19"/>
  <c r="U21" i="19"/>
  <c r="V21" i="19"/>
  <c r="U22" i="19"/>
  <c r="V22" i="19"/>
  <c r="U23" i="19"/>
  <c r="V23" i="19"/>
  <c r="U24" i="19"/>
  <c r="V24" i="19"/>
  <c r="U25" i="19"/>
  <c r="V25" i="19"/>
  <c r="U26" i="19"/>
  <c r="V26" i="19"/>
  <c r="U27" i="19"/>
  <c r="V27" i="19"/>
  <c r="U28" i="19"/>
  <c r="V28" i="19"/>
  <c r="U29" i="19"/>
  <c r="V29" i="19"/>
  <c r="U30" i="19"/>
  <c r="V30" i="19"/>
  <c r="U31" i="19"/>
  <c r="V31" i="19"/>
  <c r="U32" i="19"/>
  <c r="V32" i="19"/>
  <c r="U33" i="19"/>
  <c r="V33" i="19"/>
  <c r="U34" i="19"/>
  <c r="V34" i="19"/>
  <c r="U35" i="19"/>
  <c r="V35" i="19"/>
  <c r="U36" i="19"/>
  <c r="V36" i="19"/>
  <c r="V5" i="19"/>
  <c r="U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R31" i="19" s="1"/>
  <c r="L32" i="19"/>
  <c r="L33" i="19"/>
  <c r="L34" i="19"/>
  <c r="L35" i="19"/>
  <c r="L36" i="19"/>
  <c r="Q6" i="19"/>
  <c r="Q7" i="19"/>
  <c r="Q8" i="19"/>
  <c r="Q9" i="19"/>
  <c r="Q10" i="19"/>
  <c r="Q11" i="19"/>
  <c r="Q12" i="19"/>
  <c r="R12" i="19" s="1"/>
  <c r="Q13" i="19"/>
  <c r="R13" i="19" s="1"/>
  <c r="Q14" i="19"/>
  <c r="Q15" i="19"/>
  <c r="Q16" i="19"/>
  <c r="Q17" i="19"/>
  <c r="Q18" i="19"/>
  <c r="Q19" i="19"/>
  <c r="Q20" i="19"/>
  <c r="Q21" i="19"/>
  <c r="R21" i="19" s="1"/>
  <c r="Q22" i="19"/>
  <c r="Q23" i="19"/>
  <c r="Q24" i="19"/>
  <c r="R24" i="19" s="1"/>
  <c r="Q25" i="19"/>
  <c r="Q26" i="19"/>
  <c r="Q27" i="19"/>
  <c r="Q28" i="19"/>
  <c r="Q29" i="19"/>
  <c r="Q30" i="19"/>
  <c r="R30" i="19" s="1"/>
  <c r="Q31" i="19"/>
  <c r="Q32" i="19"/>
  <c r="Q33" i="19"/>
  <c r="Q34" i="19"/>
  <c r="Q35" i="19"/>
  <c r="Q36" i="19"/>
  <c r="R36" i="19" s="1"/>
  <c r="R9" i="19"/>
  <c r="R14" i="19"/>
  <c r="R26" i="19"/>
  <c r="R33" i="19"/>
  <c r="R34" i="19"/>
  <c r="Q3" i="19"/>
  <c r="B3" i="19"/>
  <c r="Q5" i="19"/>
  <c r="L5" i="19"/>
  <c r="G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A36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B5" i="19"/>
  <c r="A5" i="19"/>
  <c r="W5" i="19" l="1"/>
  <c r="R35" i="19"/>
  <c r="R25" i="19"/>
  <c r="R23" i="19"/>
  <c r="R22" i="19"/>
  <c r="R10" i="19"/>
  <c r="R32" i="19"/>
  <c r="R20" i="19"/>
  <c r="R8" i="19"/>
  <c r="R19" i="19"/>
  <c r="R18" i="19"/>
  <c r="R6" i="19"/>
  <c r="R27" i="19"/>
  <c r="R15" i="19"/>
  <c r="R11" i="19"/>
  <c r="R5" i="19"/>
  <c r="R7" i="19"/>
  <c r="R29" i="19"/>
  <c r="R17" i="19"/>
  <c r="R28" i="19"/>
  <c r="R16" i="19"/>
</calcChain>
</file>

<file path=xl/sharedStrings.xml><?xml version="1.0" encoding="utf-8"?>
<sst xmlns="http://schemas.openxmlformats.org/spreadsheetml/2006/main" count="144" uniqueCount="138">
  <si>
    <t>Lengua</t>
  </si>
  <si>
    <t>Lengua Extranjera</t>
  </si>
  <si>
    <t>Geografía</t>
  </si>
  <si>
    <t>Historia</t>
  </si>
  <si>
    <t>Formación Ética y Ciudadana</t>
  </si>
  <si>
    <t>Educación Física</t>
  </si>
  <si>
    <t>Matemática I</t>
  </si>
  <si>
    <t>Biología I</t>
  </si>
  <si>
    <t>Dibujo Técnico I</t>
  </si>
  <si>
    <t>Tecnología I</t>
  </si>
  <si>
    <t>Taller Electricidad I</t>
  </si>
  <si>
    <t>Taller Carpintería I</t>
  </si>
  <si>
    <t>Taller Hojalatería</t>
  </si>
  <si>
    <t>Taller Ajuste Mecánico</t>
  </si>
  <si>
    <t>Taller Informática I</t>
  </si>
  <si>
    <t>Taller Construcciones I</t>
  </si>
  <si>
    <t>Materias</t>
  </si>
  <si>
    <t>DNI</t>
  </si>
  <si>
    <t xml:space="preserve"> Nombre</t>
  </si>
  <si>
    <t xml:space="preserve"> Fecha de Nacimiento</t>
  </si>
  <si>
    <t xml:space="preserve"> FERNANDA PILAR</t>
  </si>
  <si>
    <t xml:space="preserve"> 12/10/2010</t>
  </si>
  <si>
    <t xml:space="preserve"> BENJAMIN</t>
  </si>
  <si>
    <t xml:space="preserve"> 16/01/2011</t>
  </si>
  <si>
    <t xml:space="preserve"> NAYELI GIMENA</t>
  </si>
  <si>
    <t xml:space="preserve"> 10/03/2011</t>
  </si>
  <si>
    <t xml:space="preserve"> SOLEDAD MACARENA</t>
  </si>
  <si>
    <t xml:space="preserve"> 26/01/2011</t>
  </si>
  <si>
    <t xml:space="preserve"> AMAYA MERCEDEZ</t>
  </si>
  <si>
    <t xml:space="preserve"> 24/05/2011</t>
  </si>
  <si>
    <t xml:space="preserve"> LUCIANA BELEN</t>
  </si>
  <si>
    <t xml:space="preserve"> 23/07/2010</t>
  </si>
  <si>
    <t xml:space="preserve"> JUAN AGUSTIN</t>
  </si>
  <si>
    <t xml:space="preserve"> 31/05/2011</t>
  </si>
  <si>
    <t xml:space="preserve"> BIANCA FERNANDA</t>
  </si>
  <si>
    <t xml:space="preserve"> 07/08/2010</t>
  </si>
  <si>
    <t xml:space="preserve"> ERIC LEONEL</t>
  </si>
  <si>
    <t xml:space="preserve"> 05/07/2010</t>
  </si>
  <si>
    <t xml:space="preserve"> ALDANA SOLEDAD</t>
  </si>
  <si>
    <t xml:space="preserve"> 10/09/2010</t>
  </si>
  <si>
    <t xml:space="preserve"> NAZARENO</t>
  </si>
  <si>
    <t xml:space="preserve"> 12/03/2011</t>
  </si>
  <si>
    <t xml:space="preserve"> JUAN MARTIN</t>
  </si>
  <si>
    <t xml:space="preserve"> 10/05/2011</t>
  </si>
  <si>
    <t xml:space="preserve"> ZAMIRA ELISET</t>
  </si>
  <si>
    <t xml:space="preserve"> 30/04/2011</t>
  </si>
  <si>
    <t xml:space="preserve"> ALEXANDER EDUARD</t>
  </si>
  <si>
    <t xml:space="preserve"> 11/02/2011</t>
  </si>
  <si>
    <t xml:space="preserve"> IRUPE LUDMILA</t>
  </si>
  <si>
    <t xml:space="preserve"> 24/10/2010</t>
  </si>
  <si>
    <t xml:space="preserve"> LEONARDO JOAQUIN</t>
  </si>
  <si>
    <t xml:space="preserve"> 07/02/2011</t>
  </si>
  <si>
    <t xml:space="preserve"> MARCELA DEL MILAGRO</t>
  </si>
  <si>
    <t xml:space="preserve"> 06/12/2010</t>
  </si>
  <si>
    <t xml:space="preserve"> BAUTISTA SEBASTIAN</t>
  </si>
  <si>
    <t xml:space="preserve"> 12/11/2010</t>
  </si>
  <si>
    <t xml:space="preserve"> VALENTINA MICAELA</t>
  </si>
  <si>
    <t xml:space="preserve"> 09/08/2010</t>
  </si>
  <si>
    <t xml:space="preserve"> ELEASAR DAMIAN</t>
  </si>
  <si>
    <t xml:space="preserve"> 06/07/2010</t>
  </si>
  <si>
    <t xml:space="preserve"> EVELIN THALIA</t>
  </si>
  <si>
    <t xml:space="preserve"> 29/12/2010</t>
  </si>
  <si>
    <t xml:space="preserve"> PABLO KAIAN</t>
  </si>
  <si>
    <t xml:space="preserve"> 26/11/2010</t>
  </si>
  <si>
    <t xml:space="preserve"> EROS VALENTINO</t>
  </si>
  <si>
    <t xml:space="preserve"> 11/04/2011</t>
  </si>
  <si>
    <t xml:space="preserve"> KEVIN FACUNDO</t>
  </si>
  <si>
    <t xml:space="preserve"> 04/04/2011</t>
  </si>
  <si>
    <t xml:space="preserve"> FLAVIA MARIBEL</t>
  </si>
  <si>
    <t xml:space="preserve"> 16/10/2010</t>
  </si>
  <si>
    <t xml:space="preserve"> MAGALY SOLEDAD</t>
  </si>
  <si>
    <t xml:space="preserve"> 11/05/2011</t>
  </si>
  <si>
    <t xml:space="preserve"> FRANCO BENJAMIN</t>
  </si>
  <si>
    <t xml:space="preserve"> 19/07/2010</t>
  </si>
  <si>
    <t xml:space="preserve"> MALENA ESTEFANIA</t>
  </si>
  <si>
    <t xml:space="preserve"> 11/09/2010</t>
  </si>
  <si>
    <t xml:space="preserve"> AGUSTIN GABRIEL</t>
  </si>
  <si>
    <t xml:space="preserve"> 18/02/2011</t>
  </si>
  <si>
    <t xml:space="preserve"> OCTAVIO FACUNDO</t>
  </si>
  <si>
    <t xml:space="preserve"> 20/07/2010</t>
  </si>
  <si>
    <t xml:space="preserve"> MATEO TO</t>
  </si>
  <si>
    <t xml:space="preserve"> 19/05/2011</t>
  </si>
  <si>
    <t xml:space="preserve"> KAMILA LUISA</t>
  </si>
  <si>
    <t xml:space="preserve"> 18/12/2010</t>
  </si>
  <si>
    <t>N°</t>
  </si>
  <si>
    <t>APELLIDO Y NOMBRE</t>
  </si>
  <si>
    <t>PROM</t>
  </si>
  <si>
    <t>CALIF. DIC.</t>
  </si>
  <si>
    <t>CALIF. MAR.</t>
  </si>
  <si>
    <t>PROM. FINAL</t>
  </si>
  <si>
    <t>Nº</t>
  </si>
  <si>
    <t>PROM TRIM</t>
  </si>
  <si>
    <t>Escuela Provincial de Educación Técnica Nº 21</t>
  </si>
  <si>
    <t>Consejo General de Educación</t>
  </si>
  <si>
    <t>Planilla de Califiaciones</t>
  </si>
  <si>
    <t>Curso:</t>
  </si>
  <si>
    <t>1-A</t>
  </si>
  <si>
    <t>1º T</t>
  </si>
  <si>
    <t>2º T</t>
  </si>
  <si>
    <t>3º T</t>
  </si>
  <si>
    <t>Materia</t>
  </si>
  <si>
    <t>Ciclo Lectivo</t>
  </si>
  <si>
    <t>Preceptor/a:</t>
  </si>
  <si>
    <t>AGUIRRE ALVEZ</t>
  </si>
  <si>
    <t>Apellido</t>
  </si>
  <si>
    <t>ALVEZ</t>
  </si>
  <si>
    <t>BARRAGAN</t>
  </si>
  <si>
    <t>BERENT</t>
  </si>
  <si>
    <t>ERNST</t>
  </si>
  <si>
    <t>GARELLO</t>
  </si>
  <si>
    <t>GERAHARD</t>
  </si>
  <si>
    <t>KATZ</t>
  </si>
  <si>
    <t>KONIG</t>
  </si>
  <si>
    <t>MACHADO</t>
  </si>
  <si>
    <t>MARINELICH</t>
  </si>
  <si>
    <t>MARQUEZ</t>
  </si>
  <si>
    <t>MATTO</t>
  </si>
  <si>
    <t>PACHECO</t>
  </si>
  <si>
    <t>PARRA</t>
  </si>
  <si>
    <t>PEREZ</t>
  </si>
  <si>
    <t>PIÑEYRO</t>
  </si>
  <si>
    <t>RODRIGUEZ</t>
  </si>
  <si>
    <t>SELZLER</t>
  </si>
  <si>
    <t>SILVA</t>
  </si>
  <si>
    <t>WERNER</t>
  </si>
  <si>
    <t>ZEA BALK</t>
  </si>
  <si>
    <t>AGUIRRE DA SILVA</t>
  </si>
  <si>
    <t>ALVEZ BARBOZA</t>
  </si>
  <si>
    <t>CUZ BALK</t>
  </si>
  <si>
    <t>DA ROSA</t>
  </si>
  <si>
    <t>DOS SANTOS</t>
  </si>
  <si>
    <t>LAZARTE SANTILLAN</t>
  </si>
  <si>
    <t>PELEPIUK FERSTER</t>
  </si>
  <si>
    <t>SCHOENWALD FOLETTO</t>
  </si>
  <si>
    <t>Preceptor/a</t>
  </si>
  <si>
    <t>PROM.MESA-DIC</t>
  </si>
  <si>
    <t>PROM.MESA-MAR</t>
  </si>
  <si>
    <t>Pinino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</si>
</sst>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1"/>
      <name val="Consolas"/>
      <family val="3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1" fillId="0" borderId="1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9"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82F1A-A362-4505-A331-6AF0DDE03CD5}">
  <sheetPr codeName="Hoja19">
    <tabColor rgb="FFFF0000"/>
  </sheetPr>
  <dimension ref="A1:F34"/>
  <sheetViews>
    <sheetView showGridLines="0" workbookViewId="0">
      <selection activeCell="Q5" sqref="Q5"/>
    </sheetView>
  </sheetViews>
  <sheetFormatPr baseColWidth="10" defaultRowHeight="15" x14ac:dyDescent="0.25"/>
  <cols>
    <col min="1" max="1" width="7.85546875" style="13" bestFit="1" customWidth="1"/>
    <col min="2" max="2" width="12.42578125" style="13" bestFit="1" customWidth="1"/>
    <col min="3" max="3" width="21.85546875" style="13" bestFit="1" customWidth="1"/>
    <col min="4" max="5" width="24.140625" style="13" bestFit="1" customWidth="1"/>
    <col min="6" max="16384" width="11.42578125" style="13"/>
  </cols>
  <sheetData>
    <row r="1" spans="1:6" s="15" customFormat="1" x14ac:dyDescent="0.25">
      <c r="A1" s="12" t="s">
        <v>95</v>
      </c>
      <c r="B1" s="12" t="s">
        <v>96</v>
      </c>
      <c r="C1" s="12" t="s">
        <v>134</v>
      </c>
      <c r="D1" s="18" t="s">
        <v>137</v>
      </c>
      <c r="E1" s="19"/>
    </row>
    <row r="2" spans="1:6" x14ac:dyDescent="0.25">
      <c r="A2" s="12" t="s">
        <v>90</v>
      </c>
      <c r="B2" s="12" t="s">
        <v>17</v>
      </c>
      <c r="C2" s="12" t="s">
        <v>104</v>
      </c>
      <c r="D2" s="12" t="s">
        <v>18</v>
      </c>
      <c r="E2" s="12" t="s">
        <v>19</v>
      </c>
      <c r="F2" s="15"/>
    </row>
    <row r="3" spans="1:6" x14ac:dyDescent="0.25">
      <c r="A3" s="11">
        <v>1</v>
      </c>
      <c r="B3" s="14">
        <v>50660080</v>
      </c>
      <c r="C3" s="11" t="s">
        <v>103</v>
      </c>
      <c r="D3" s="11" t="s">
        <v>20</v>
      </c>
      <c r="E3" s="11" t="s">
        <v>21</v>
      </c>
    </row>
    <row r="4" spans="1:6" x14ac:dyDescent="0.25">
      <c r="A4" s="11">
        <v>2</v>
      </c>
      <c r="B4" s="14">
        <v>50816657</v>
      </c>
      <c r="C4" s="11" t="s">
        <v>126</v>
      </c>
      <c r="D4" s="11" t="s">
        <v>22</v>
      </c>
      <c r="E4" s="11" t="s">
        <v>23</v>
      </c>
    </row>
    <row r="5" spans="1:6" x14ac:dyDescent="0.25">
      <c r="A5" s="11">
        <v>3</v>
      </c>
      <c r="B5" s="14">
        <v>51076611</v>
      </c>
      <c r="C5" s="11" t="s">
        <v>127</v>
      </c>
      <c r="D5" s="11" t="s">
        <v>24</v>
      </c>
      <c r="E5" s="11" t="s">
        <v>25</v>
      </c>
    </row>
    <row r="6" spans="1:6" x14ac:dyDescent="0.25">
      <c r="A6" s="11">
        <v>4</v>
      </c>
      <c r="B6" s="14">
        <v>50940302</v>
      </c>
      <c r="C6" s="11" t="s">
        <v>105</v>
      </c>
      <c r="D6" s="11" t="s">
        <v>26</v>
      </c>
      <c r="E6" s="11" t="s">
        <v>27</v>
      </c>
    </row>
    <row r="7" spans="1:6" x14ac:dyDescent="0.25">
      <c r="A7" s="11">
        <v>5</v>
      </c>
      <c r="B7" s="14">
        <v>51220176</v>
      </c>
      <c r="C7" s="11" t="s">
        <v>106</v>
      </c>
      <c r="D7" s="11" t="s">
        <v>28</v>
      </c>
      <c r="E7" s="11" t="s">
        <v>29</v>
      </c>
    </row>
    <row r="8" spans="1:6" x14ac:dyDescent="0.25">
      <c r="A8" s="11">
        <v>6</v>
      </c>
      <c r="B8" s="14">
        <v>50429709</v>
      </c>
      <c r="C8" s="11" t="s">
        <v>107</v>
      </c>
      <c r="D8" s="11" t="s">
        <v>30</v>
      </c>
      <c r="E8" s="11" t="s">
        <v>31</v>
      </c>
    </row>
    <row r="9" spans="1:6" x14ac:dyDescent="0.25">
      <c r="A9" s="11">
        <v>7</v>
      </c>
      <c r="B9" s="14">
        <v>51212019</v>
      </c>
      <c r="C9" s="11" t="s">
        <v>128</v>
      </c>
      <c r="D9" s="11" t="s">
        <v>32</v>
      </c>
      <c r="E9" s="11" t="s">
        <v>33</v>
      </c>
    </row>
    <row r="10" spans="1:6" x14ac:dyDescent="0.25">
      <c r="A10" s="11">
        <v>8</v>
      </c>
      <c r="B10" s="14">
        <v>50429618</v>
      </c>
      <c r="C10" s="11" t="s">
        <v>129</v>
      </c>
      <c r="D10" s="11" t="s">
        <v>34</v>
      </c>
      <c r="E10" s="11" t="s">
        <v>35</v>
      </c>
    </row>
    <row r="11" spans="1:6" x14ac:dyDescent="0.25">
      <c r="A11" s="11">
        <v>9</v>
      </c>
      <c r="B11" s="14">
        <v>50344338</v>
      </c>
      <c r="C11" s="11" t="s">
        <v>130</v>
      </c>
      <c r="D11" s="11" t="s">
        <v>36</v>
      </c>
      <c r="E11" s="11" t="s">
        <v>37</v>
      </c>
    </row>
    <row r="12" spans="1:6" x14ac:dyDescent="0.25">
      <c r="A12" s="11">
        <v>10</v>
      </c>
      <c r="B12" s="14">
        <v>50660015</v>
      </c>
      <c r="C12" s="11" t="s">
        <v>108</v>
      </c>
      <c r="D12" s="11" t="s">
        <v>38</v>
      </c>
      <c r="E12" s="11" t="s">
        <v>39</v>
      </c>
    </row>
    <row r="13" spans="1:6" x14ac:dyDescent="0.25">
      <c r="A13" s="11">
        <v>11</v>
      </c>
      <c r="B13" s="14">
        <v>50941409</v>
      </c>
      <c r="C13" s="11" t="s">
        <v>109</v>
      </c>
      <c r="D13" s="11" t="s">
        <v>40</v>
      </c>
      <c r="E13" s="11" t="s">
        <v>41</v>
      </c>
    </row>
    <row r="14" spans="1:6" x14ac:dyDescent="0.25">
      <c r="A14" s="11">
        <v>12</v>
      </c>
      <c r="B14" s="14">
        <v>51076873</v>
      </c>
      <c r="C14" s="11" t="s">
        <v>110</v>
      </c>
      <c r="D14" s="11" t="s">
        <v>42</v>
      </c>
      <c r="E14" s="11" t="s">
        <v>43</v>
      </c>
    </row>
    <row r="15" spans="1:6" x14ac:dyDescent="0.25">
      <c r="A15" s="11">
        <v>13</v>
      </c>
      <c r="B15" s="14">
        <v>51076664</v>
      </c>
      <c r="C15" s="11" t="s">
        <v>111</v>
      </c>
      <c r="D15" s="11" t="s">
        <v>44</v>
      </c>
      <c r="E15" s="11" t="s">
        <v>45</v>
      </c>
    </row>
    <row r="16" spans="1:6" x14ac:dyDescent="0.25">
      <c r="A16" s="11">
        <v>14</v>
      </c>
      <c r="B16" s="14">
        <v>50940335</v>
      </c>
      <c r="C16" s="11" t="s">
        <v>112</v>
      </c>
      <c r="D16" s="11" t="s">
        <v>46</v>
      </c>
      <c r="E16" s="11" t="s">
        <v>47</v>
      </c>
    </row>
    <row r="17" spans="1:5" x14ac:dyDescent="0.25">
      <c r="A17" s="11">
        <v>15</v>
      </c>
      <c r="B17" s="14">
        <v>50521874</v>
      </c>
      <c r="C17" s="11" t="s">
        <v>131</v>
      </c>
      <c r="D17" s="11" t="s">
        <v>48</v>
      </c>
      <c r="E17" s="11" t="s">
        <v>49</v>
      </c>
    </row>
    <row r="18" spans="1:5" x14ac:dyDescent="0.25">
      <c r="A18" s="11">
        <v>16</v>
      </c>
      <c r="B18" s="14">
        <v>50940316</v>
      </c>
      <c r="C18" s="11" t="s">
        <v>113</v>
      </c>
      <c r="D18" s="11" t="s">
        <v>50</v>
      </c>
      <c r="E18" s="11" t="s">
        <v>51</v>
      </c>
    </row>
    <row r="19" spans="1:5" x14ac:dyDescent="0.25">
      <c r="A19" s="11">
        <v>17</v>
      </c>
      <c r="B19" s="14">
        <v>50731121</v>
      </c>
      <c r="C19" s="11" t="s">
        <v>114</v>
      </c>
      <c r="D19" s="11" t="s">
        <v>52</v>
      </c>
      <c r="E19" s="11" t="s">
        <v>53</v>
      </c>
    </row>
    <row r="20" spans="1:5" x14ac:dyDescent="0.25">
      <c r="A20" s="11">
        <v>18</v>
      </c>
      <c r="B20" s="14">
        <v>50660832</v>
      </c>
      <c r="C20" s="11" t="s">
        <v>115</v>
      </c>
      <c r="D20" s="11" t="s">
        <v>54</v>
      </c>
      <c r="E20" s="11" t="s">
        <v>55</v>
      </c>
    </row>
    <row r="21" spans="1:5" x14ac:dyDescent="0.25">
      <c r="A21" s="11">
        <v>19</v>
      </c>
      <c r="B21" s="14">
        <v>50429749</v>
      </c>
      <c r="C21" s="11" t="s">
        <v>116</v>
      </c>
      <c r="D21" s="11" t="s">
        <v>56</v>
      </c>
      <c r="E21" s="11" t="s">
        <v>57</v>
      </c>
    </row>
    <row r="22" spans="1:5" x14ac:dyDescent="0.25">
      <c r="A22" s="11">
        <v>20</v>
      </c>
      <c r="B22" s="14">
        <v>50345675</v>
      </c>
      <c r="C22" s="11" t="s">
        <v>117</v>
      </c>
      <c r="D22" s="11" t="s">
        <v>58</v>
      </c>
      <c r="E22" s="11" t="s">
        <v>59</v>
      </c>
    </row>
    <row r="23" spans="1:5" x14ac:dyDescent="0.25">
      <c r="A23" s="11">
        <v>21</v>
      </c>
      <c r="B23" s="14">
        <v>50730876</v>
      </c>
      <c r="C23" s="11" t="s">
        <v>118</v>
      </c>
      <c r="D23" s="11" t="s">
        <v>60</v>
      </c>
      <c r="E23" s="11" t="s">
        <v>61</v>
      </c>
    </row>
    <row r="24" spans="1:5" x14ac:dyDescent="0.25">
      <c r="A24" s="11">
        <v>22</v>
      </c>
      <c r="B24" s="14">
        <v>50660852</v>
      </c>
      <c r="C24" s="11" t="s">
        <v>132</v>
      </c>
      <c r="D24" s="11" t="s">
        <v>62</v>
      </c>
      <c r="E24" s="11" t="s">
        <v>63</v>
      </c>
    </row>
    <row r="25" spans="1:5" x14ac:dyDescent="0.25">
      <c r="A25" s="11">
        <v>23</v>
      </c>
      <c r="B25" s="14">
        <v>51076623</v>
      </c>
      <c r="C25" s="11" t="s">
        <v>119</v>
      </c>
      <c r="D25" s="11" t="s">
        <v>64</v>
      </c>
      <c r="E25" s="11" t="s">
        <v>65</v>
      </c>
    </row>
    <row r="26" spans="1:5" x14ac:dyDescent="0.25">
      <c r="A26" s="11">
        <v>24</v>
      </c>
      <c r="B26" s="14">
        <v>51076801</v>
      </c>
      <c r="C26" s="11" t="s">
        <v>120</v>
      </c>
      <c r="D26" s="11" t="s">
        <v>66</v>
      </c>
      <c r="E26" s="11" t="s">
        <v>67</v>
      </c>
    </row>
    <row r="27" spans="1:5" x14ac:dyDescent="0.25">
      <c r="A27" s="11">
        <v>25</v>
      </c>
      <c r="B27" s="14">
        <v>50571991</v>
      </c>
      <c r="C27" s="11" t="s">
        <v>121</v>
      </c>
      <c r="D27" s="11" t="s">
        <v>68</v>
      </c>
      <c r="E27" s="11" t="s">
        <v>69</v>
      </c>
    </row>
    <row r="28" spans="1:5" x14ac:dyDescent="0.25">
      <c r="A28" s="11">
        <v>26</v>
      </c>
      <c r="B28" s="14">
        <v>51076692</v>
      </c>
      <c r="C28" s="11" t="s">
        <v>121</v>
      </c>
      <c r="D28" s="11" t="s">
        <v>70</v>
      </c>
      <c r="E28" s="11" t="s">
        <v>71</v>
      </c>
    </row>
    <row r="29" spans="1:5" x14ac:dyDescent="0.25">
      <c r="A29" s="11">
        <v>27</v>
      </c>
      <c r="B29" s="14">
        <v>50344375</v>
      </c>
      <c r="C29" s="11" t="s">
        <v>133</v>
      </c>
      <c r="D29" s="11" t="s">
        <v>72</v>
      </c>
      <c r="E29" s="11" t="s">
        <v>73</v>
      </c>
    </row>
    <row r="30" spans="1:5" x14ac:dyDescent="0.25">
      <c r="A30" s="11">
        <v>28</v>
      </c>
      <c r="B30" s="14">
        <v>50660010</v>
      </c>
      <c r="C30" s="11" t="s">
        <v>122</v>
      </c>
      <c r="D30" s="11" t="s">
        <v>74</v>
      </c>
      <c r="E30" s="11" t="s">
        <v>75</v>
      </c>
    </row>
    <row r="31" spans="1:5" x14ac:dyDescent="0.25">
      <c r="A31" s="11">
        <v>29</v>
      </c>
      <c r="B31" s="14">
        <v>50867839</v>
      </c>
      <c r="C31" s="11" t="s">
        <v>123</v>
      </c>
      <c r="D31" s="11" t="s">
        <v>76</v>
      </c>
      <c r="E31" s="11" t="s">
        <v>77</v>
      </c>
    </row>
    <row r="32" spans="1:5" x14ac:dyDescent="0.25">
      <c r="A32" s="11">
        <v>30</v>
      </c>
      <c r="B32" s="14">
        <v>50359661</v>
      </c>
      <c r="C32" s="11" t="s">
        <v>123</v>
      </c>
      <c r="D32" s="11" t="s">
        <v>78</v>
      </c>
      <c r="E32" s="11" t="s">
        <v>79</v>
      </c>
    </row>
    <row r="33" spans="1:5" x14ac:dyDescent="0.25">
      <c r="A33" s="11">
        <v>31</v>
      </c>
      <c r="B33" s="14">
        <v>50967678</v>
      </c>
      <c r="C33" s="11" t="s">
        <v>124</v>
      </c>
      <c r="D33" s="11" t="s">
        <v>80</v>
      </c>
      <c r="E33" s="11" t="s">
        <v>81</v>
      </c>
    </row>
    <row r="34" spans="1:5" x14ac:dyDescent="0.25">
      <c r="A34" s="11">
        <v>32</v>
      </c>
      <c r="B34" s="14">
        <v>50660881</v>
      </c>
      <c r="C34" s="11" t="s">
        <v>125</v>
      </c>
      <c r="D34" s="11" t="s">
        <v>82</v>
      </c>
      <c r="E34" s="11" t="s">
        <v>83</v>
      </c>
    </row>
  </sheetData>
  <mergeCells count="1">
    <mergeCell ref="D1:E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DC03B-631B-469A-917B-5B6BC5EBFA87}">
  <sheetPr codeName="Hoja18">
    <tabColor rgb="FFFF0000"/>
  </sheetPr>
  <dimension ref="A1:D17"/>
  <sheetViews>
    <sheetView showGridLines="0" workbookViewId="0">
      <selection activeCell="Q5" sqref="Q5"/>
    </sheetView>
  </sheetViews>
  <sheetFormatPr baseColWidth="10" defaultRowHeight="15" x14ac:dyDescent="0.25"/>
  <cols>
    <col min="1" max="1" width="3.28515625" style="24" bestFit="1" customWidth="1"/>
    <col min="2" max="2" width="32.42578125" style="2" bestFit="1" customWidth="1"/>
    <col min="3" max="3" width="11.42578125" style="1"/>
    <col min="4" max="4" width="35.85546875" style="1" bestFit="1" customWidth="1"/>
    <col min="5" max="16384" width="11.42578125" style="1"/>
  </cols>
  <sheetData>
    <row r="1" spans="1:4" s="3" customFormat="1" x14ac:dyDescent="0.25">
      <c r="A1" s="22" t="s">
        <v>90</v>
      </c>
      <c r="B1" s="20" t="s">
        <v>16</v>
      </c>
      <c r="D1" s="1"/>
    </row>
    <row r="2" spans="1:4" x14ac:dyDescent="0.25">
      <c r="A2" s="23">
        <v>16</v>
      </c>
      <c r="B2" s="21" t="s">
        <v>15</v>
      </c>
    </row>
    <row r="3" spans="1:4" x14ac:dyDescent="0.25">
      <c r="A3" s="23">
        <v>15</v>
      </c>
      <c r="B3" s="21" t="s">
        <v>14</v>
      </c>
    </row>
    <row r="4" spans="1:4" x14ac:dyDescent="0.25">
      <c r="A4" s="23">
        <v>14</v>
      </c>
      <c r="B4" s="21" t="s">
        <v>13</v>
      </c>
    </row>
    <row r="5" spans="1:4" x14ac:dyDescent="0.25">
      <c r="A5" s="23">
        <v>13</v>
      </c>
      <c r="B5" s="21" t="s">
        <v>12</v>
      </c>
    </row>
    <row r="6" spans="1:4" x14ac:dyDescent="0.25">
      <c r="A6" s="23">
        <v>12</v>
      </c>
      <c r="B6" s="21" t="s">
        <v>11</v>
      </c>
    </row>
    <row r="7" spans="1:4" x14ac:dyDescent="0.25">
      <c r="A7" s="23">
        <v>11</v>
      </c>
      <c r="B7" s="21" t="s">
        <v>10</v>
      </c>
    </row>
    <row r="8" spans="1:4" x14ac:dyDescent="0.25">
      <c r="A8" s="23">
        <v>10</v>
      </c>
      <c r="B8" s="21" t="s">
        <v>9</v>
      </c>
    </row>
    <row r="9" spans="1:4" x14ac:dyDescent="0.25">
      <c r="A9" s="23">
        <v>9</v>
      </c>
      <c r="B9" s="21" t="s">
        <v>8</v>
      </c>
    </row>
    <row r="10" spans="1:4" x14ac:dyDescent="0.25">
      <c r="A10" s="23">
        <v>8</v>
      </c>
      <c r="B10" s="21" t="s">
        <v>7</v>
      </c>
    </row>
    <row r="11" spans="1:4" x14ac:dyDescent="0.25">
      <c r="A11" s="23">
        <v>7</v>
      </c>
      <c r="B11" s="21" t="s">
        <v>6</v>
      </c>
    </row>
    <row r="12" spans="1:4" x14ac:dyDescent="0.25">
      <c r="A12" s="23">
        <v>6</v>
      </c>
      <c r="B12" s="21" t="s">
        <v>5</v>
      </c>
    </row>
    <row r="13" spans="1:4" x14ac:dyDescent="0.25">
      <c r="A13" s="23">
        <v>5</v>
      </c>
      <c r="B13" s="21" t="s">
        <v>4</v>
      </c>
    </row>
    <row r="14" spans="1:4" x14ac:dyDescent="0.25">
      <c r="A14" s="23">
        <v>4</v>
      </c>
      <c r="B14" s="21" t="s">
        <v>3</v>
      </c>
    </row>
    <row r="15" spans="1:4" x14ac:dyDescent="0.25">
      <c r="A15" s="23">
        <v>3</v>
      </c>
      <c r="B15" s="21" t="s">
        <v>2</v>
      </c>
    </row>
    <row r="16" spans="1:4" x14ac:dyDescent="0.25">
      <c r="A16" s="23">
        <v>2</v>
      </c>
      <c r="B16" s="21" t="s">
        <v>1</v>
      </c>
    </row>
    <row r="17" spans="1:2" x14ac:dyDescent="0.25">
      <c r="A17" s="23">
        <v>1</v>
      </c>
      <c r="B17" s="21" t="s">
        <v>0</v>
      </c>
    </row>
  </sheetData>
  <sortState xmlns:xlrd2="http://schemas.microsoft.com/office/spreadsheetml/2017/richdata2" ref="D18:D33">
    <sortCondition descending="1" ref="D18:D3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4F6E-68C3-4FBE-A9E0-483E6AE0B954}">
  <sheetPr codeName="Hoja17"/>
  <dimension ref="A1:W36"/>
  <sheetViews>
    <sheetView showGridLines="0" tabSelected="1" workbookViewId="0">
      <selection activeCell="Q3" sqref="Q3:W3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17" t="s">
        <v>92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s="9" customFormat="1" x14ac:dyDescent="0.25">
      <c r="A2" s="17" t="s">
        <v>93</v>
      </c>
      <c r="B2" s="17"/>
      <c r="C2" s="17" t="s">
        <v>94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8" t="s">
        <v>101</v>
      </c>
      <c r="R2" s="10">
        <v>2024</v>
      </c>
      <c r="S2" s="8" t="s">
        <v>102</v>
      </c>
      <c r="T2" s="17" t="str">
        <f>Alumnos!D1</f>
        <v>Pinino</v>
      </c>
      <c r="U2" s="17"/>
      <c r="V2" s="17"/>
      <c r="W2" s="17"/>
    </row>
    <row r="3" spans="1:23" x14ac:dyDescent="0.25">
      <c r="A3" s="5" t="s">
        <v>95</v>
      </c>
      <c r="B3" s="10" t="str">
        <f>Alumnos!B1</f>
        <v>1-A</v>
      </c>
      <c r="C3" s="17" t="s">
        <v>100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6" t="str">
        <f>Materias!B2</f>
        <v>Taller Construcciones I</v>
      </c>
      <c r="R3" s="16"/>
      <c r="S3" s="16"/>
      <c r="T3" s="16"/>
      <c r="U3" s="16"/>
      <c r="V3" s="16"/>
      <c r="W3" s="16"/>
    </row>
    <row r="4" spans="1:23" s="4" customFormat="1" x14ac:dyDescent="0.25">
      <c r="A4" s="5" t="s">
        <v>84</v>
      </c>
      <c r="B4" s="12" t="s">
        <v>85</v>
      </c>
      <c r="C4" s="17" t="s">
        <v>97</v>
      </c>
      <c r="D4" s="17"/>
      <c r="E4" s="17"/>
      <c r="F4" s="17"/>
      <c r="G4" s="5" t="s">
        <v>86</v>
      </c>
      <c r="H4" s="17" t="s">
        <v>98</v>
      </c>
      <c r="I4" s="17"/>
      <c r="J4" s="17"/>
      <c r="K4" s="17"/>
      <c r="L4" s="5" t="s">
        <v>86</v>
      </c>
      <c r="M4" s="17" t="s">
        <v>99</v>
      </c>
      <c r="N4" s="17"/>
      <c r="O4" s="17"/>
      <c r="P4" s="17"/>
      <c r="Q4" s="5" t="s">
        <v>86</v>
      </c>
      <c r="R4" s="5" t="s">
        <v>91</v>
      </c>
      <c r="S4" s="5" t="s">
        <v>87</v>
      </c>
      <c r="T4" s="5" t="s">
        <v>88</v>
      </c>
      <c r="U4" s="5" t="s">
        <v>135</v>
      </c>
      <c r="V4" s="5" t="s">
        <v>136</v>
      </c>
      <c r="W4" s="5" t="s">
        <v>89</v>
      </c>
    </row>
    <row r="5" spans="1:23" x14ac:dyDescent="0.25">
      <c r="A5" s="6">
        <f>Alumnos!A3</f>
        <v>1</v>
      </c>
      <c r="B5" s="11" t="str">
        <f>_xlfn.CONCAT(Alumnos!C3,Alumnos!D3)</f>
        <v>AGUIRRE ALVEZ FERNANDA PILAR</v>
      </c>
      <c r="C5" s="6">
        <v>0</v>
      </c>
      <c r="D5" s="6">
        <v>0</v>
      </c>
      <c r="E5" s="6">
        <v>0</v>
      </c>
      <c r="F5" s="6">
        <v>0</v>
      </c>
      <c r="G5" s="5">
        <f>SUM(C5:F5)/4</f>
        <v>0</v>
      </c>
      <c r="H5" s="10">
        <v>0</v>
      </c>
      <c r="I5" s="10">
        <v>0</v>
      </c>
      <c r="J5" s="10">
        <v>0</v>
      </c>
      <c r="K5" s="10">
        <v>0</v>
      </c>
      <c r="L5" s="5">
        <f>SUM(H5:K5)/4</f>
        <v>0</v>
      </c>
      <c r="M5" s="10">
        <v>0</v>
      </c>
      <c r="N5" s="10">
        <v>0</v>
      </c>
      <c r="O5" s="10">
        <v>0</v>
      </c>
      <c r="P5" s="10">
        <v>0</v>
      </c>
      <c r="Q5" s="5">
        <f>SUM(M5:P5)/4</f>
        <v>0</v>
      </c>
      <c r="R5" s="6" t="str">
        <f>IF(AND(G5&gt;=6,L5&gt;=6,Q5&gt;=6),TRUNC(SUM(G5,L5,Q5)/3,2),"5,99")</f>
        <v>5,99</v>
      </c>
      <c r="S5" s="6">
        <v>0</v>
      </c>
      <c r="T5" s="6">
        <v>0</v>
      </c>
      <c r="U5" s="6">
        <f>IF(S5&gt;=6,S5,T5)</f>
        <v>0</v>
      </c>
      <c r="V5" s="6">
        <f>IF(S5&gt;=6,S5,T5)</f>
        <v>0</v>
      </c>
      <c r="W5" s="10">
        <f>IF(Q5&gt;=6,Q5,V5)</f>
        <v>0</v>
      </c>
    </row>
    <row r="6" spans="1:23" x14ac:dyDescent="0.25">
      <c r="A6" s="6">
        <f>Alumnos!A4</f>
        <v>2</v>
      </c>
      <c r="B6" s="11" t="str">
        <f>_xlfn.CONCAT(Alumnos!C4,Alumnos!D4)</f>
        <v>AGUIRRE DA SILVA BENJAMIN</v>
      </c>
      <c r="C6" s="10">
        <v>0</v>
      </c>
      <c r="D6" s="10">
        <v>0</v>
      </c>
      <c r="E6" s="10">
        <v>0</v>
      </c>
      <c r="F6" s="10">
        <v>0</v>
      </c>
      <c r="G6" s="5">
        <f t="shared" ref="G6:G36" si="0">SUM(C6:F6)/4</f>
        <v>0</v>
      </c>
      <c r="H6" s="10">
        <v>0</v>
      </c>
      <c r="I6" s="10">
        <v>0</v>
      </c>
      <c r="J6" s="10">
        <v>0</v>
      </c>
      <c r="K6" s="10">
        <v>0</v>
      </c>
      <c r="L6" s="5">
        <f t="shared" ref="L6:L36" si="1">SUM(H6:K6)/4</f>
        <v>0</v>
      </c>
      <c r="M6" s="10">
        <v>0</v>
      </c>
      <c r="N6" s="10">
        <v>0</v>
      </c>
      <c r="O6" s="10">
        <v>0</v>
      </c>
      <c r="P6" s="10">
        <v>0</v>
      </c>
      <c r="Q6" s="5">
        <f t="shared" ref="Q6:Q36" si="2">SUM(M6:P6)/4</f>
        <v>0</v>
      </c>
      <c r="R6" s="6" t="str">
        <f t="shared" ref="R6:R36" si="3">IF(AND(G6&gt;=6,L6&gt;=6,Q6&gt;=6),TRUNC(SUM(G6,L6,Q6)/3,2),"5,99")</f>
        <v>5,99</v>
      </c>
      <c r="S6" s="10">
        <v>0</v>
      </c>
      <c r="T6" s="10">
        <v>0</v>
      </c>
      <c r="U6" s="10">
        <f t="shared" ref="U6:U36" si="4">IF(S6&gt;=6,S6,T6)</f>
        <v>0</v>
      </c>
      <c r="V6" s="10">
        <f t="shared" ref="V6:W36" si="5">IF(S6&gt;=6,S6,T6)</f>
        <v>0</v>
      </c>
      <c r="W6" s="10">
        <f t="shared" si="5"/>
        <v>0</v>
      </c>
    </row>
    <row r="7" spans="1:23" x14ac:dyDescent="0.25">
      <c r="A7" s="6">
        <f>Alumnos!A5</f>
        <v>3</v>
      </c>
      <c r="B7" s="11" t="str">
        <f>_xlfn.CONCAT(Alumnos!C5,Alumnos!D5)</f>
        <v>ALVEZ BARBOZA NAYELI GIMENA</v>
      </c>
      <c r="C7" s="10">
        <v>0</v>
      </c>
      <c r="D7" s="10">
        <v>0</v>
      </c>
      <c r="E7" s="10">
        <v>0</v>
      </c>
      <c r="F7" s="10">
        <v>0</v>
      </c>
      <c r="G7" s="5">
        <f t="shared" si="0"/>
        <v>0</v>
      </c>
      <c r="H7" s="10">
        <v>0</v>
      </c>
      <c r="I7" s="10">
        <v>0</v>
      </c>
      <c r="J7" s="10">
        <v>0</v>
      </c>
      <c r="K7" s="10">
        <v>0</v>
      </c>
      <c r="L7" s="5">
        <f t="shared" si="1"/>
        <v>0</v>
      </c>
      <c r="M7" s="10">
        <v>0</v>
      </c>
      <c r="N7" s="10">
        <v>0</v>
      </c>
      <c r="O7" s="10">
        <v>0</v>
      </c>
      <c r="P7" s="10">
        <v>0</v>
      </c>
      <c r="Q7" s="5">
        <f t="shared" si="2"/>
        <v>0</v>
      </c>
      <c r="R7" s="6" t="str">
        <f t="shared" si="3"/>
        <v>5,99</v>
      </c>
      <c r="S7" s="10">
        <v>0</v>
      </c>
      <c r="T7" s="10">
        <v>0</v>
      </c>
      <c r="U7" s="10">
        <f t="shared" si="4"/>
        <v>0</v>
      </c>
      <c r="V7" s="10">
        <f t="shared" si="5"/>
        <v>0</v>
      </c>
      <c r="W7" s="10">
        <f t="shared" si="5"/>
        <v>0</v>
      </c>
    </row>
    <row r="8" spans="1:23" x14ac:dyDescent="0.25">
      <c r="A8" s="6">
        <f>Alumnos!A6</f>
        <v>4</v>
      </c>
      <c r="B8" s="11" t="str">
        <f>_xlfn.CONCAT(Alumnos!C6,Alumnos!D6)</f>
        <v>ALVEZ SOLEDAD MACARENA</v>
      </c>
      <c r="C8" s="10">
        <v>0</v>
      </c>
      <c r="D8" s="10">
        <v>0</v>
      </c>
      <c r="E8" s="10">
        <v>0</v>
      </c>
      <c r="F8" s="10">
        <v>0</v>
      </c>
      <c r="G8" s="5">
        <f t="shared" si="0"/>
        <v>0</v>
      </c>
      <c r="H8" s="10">
        <v>0</v>
      </c>
      <c r="I8" s="10">
        <v>0</v>
      </c>
      <c r="J8" s="10">
        <v>0</v>
      </c>
      <c r="K8" s="10">
        <v>0</v>
      </c>
      <c r="L8" s="5">
        <f t="shared" si="1"/>
        <v>0</v>
      </c>
      <c r="M8" s="10">
        <v>0</v>
      </c>
      <c r="N8" s="10">
        <v>0</v>
      </c>
      <c r="O8" s="10">
        <v>0</v>
      </c>
      <c r="P8" s="10">
        <v>0</v>
      </c>
      <c r="Q8" s="5">
        <f t="shared" si="2"/>
        <v>0</v>
      </c>
      <c r="R8" s="6" t="str">
        <f t="shared" si="3"/>
        <v>5,99</v>
      </c>
      <c r="S8" s="10">
        <v>0</v>
      </c>
      <c r="T8" s="10">
        <v>0</v>
      </c>
      <c r="U8" s="10">
        <f t="shared" si="4"/>
        <v>0</v>
      </c>
      <c r="V8" s="10">
        <f t="shared" si="5"/>
        <v>0</v>
      </c>
      <c r="W8" s="10">
        <f t="shared" si="5"/>
        <v>0</v>
      </c>
    </row>
    <row r="9" spans="1:23" x14ac:dyDescent="0.25">
      <c r="A9" s="6">
        <f>Alumnos!A7</f>
        <v>5</v>
      </c>
      <c r="B9" s="11" t="str">
        <f>_xlfn.CONCAT(Alumnos!C7,Alumnos!D7)</f>
        <v>BARRAGAN AMAYA MERCEDEZ</v>
      </c>
      <c r="C9" s="10">
        <v>0</v>
      </c>
      <c r="D9" s="10">
        <v>0</v>
      </c>
      <c r="E9" s="10">
        <v>0</v>
      </c>
      <c r="F9" s="10">
        <v>0</v>
      </c>
      <c r="G9" s="5">
        <f t="shared" si="0"/>
        <v>0</v>
      </c>
      <c r="H9" s="10">
        <v>0</v>
      </c>
      <c r="I9" s="10">
        <v>0</v>
      </c>
      <c r="J9" s="10">
        <v>0</v>
      </c>
      <c r="K9" s="10">
        <v>0</v>
      </c>
      <c r="L9" s="5">
        <f t="shared" si="1"/>
        <v>0</v>
      </c>
      <c r="M9" s="10">
        <v>0</v>
      </c>
      <c r="N9" s="10">
        <v>0</v>
      </c>
      <c r="O9" s="10">
        <v>0</v>
      </c>
      <c r="P9" s="10">
        <v>0</v>
      </c>
      <c r="Q9" s="5">
        <f t="shared" si="2"/>
        <v>0</v>
      </c>
      <c r="R9" s="6" t="str">
        <f t="shared" si="3"/>
        <v>5,99</v>
      </c>
      <c r="S9" s="10">
        <v>0</v>
      </c>
      <c r="T9" s="10">
        <v>0</v>
      </c>
      <c r="U9" s="10">
        <f t="shared" si="4"/>
        <v>0</v>
      </c>
      <c r="V9" s="10">
        <f t="shared" si="5"/>
        <v>0</v>
      </c>
      <c r="W9" s="10">
        <f t="shared" si="5"/>
        <v>0</v>
      </c>
    </row>
    <row r="10" spans="1:23" x14ac:dyDescent="0.25">
      <c r="A10" s="6">
        <f>Alumnos!A8</f>
        <v>6</v>
      </c>
      <c r="B10" s="11" t="str">
        <f>_xlfn.CONCAT(Alumnos!C8,Alumnos!D8)</f>
        <v>BERENT LUCIANA BELEN</v>
      </c>
      <c r="C10" s="10">
        <v>0</v>
      </c>
      <c r="D10" s="10">
        <v>0</v>
      </c>
      <c r="E10" s="10">
        <v>0</v>
      </c>
      <c r="F10" s="10">
        <v>0</v>
      </c>
      <c r="G10" s="5">
        <f t="shared" si="0"/>
        <v>0</v>
      </c>
      <c r="H10" s="10">
        <v>0</v>
      </c>
      <c r="I10" s="10">
        <v>0</v>
      </c>
      <c r="J10" s="10">
        <v>0</v>
      </c>
      <c r="K10" s="10">
        <v>0</v>
      </c>
      <c r="L10" s="5">
        <f t="shared" si="1"/>
        <v>0</v>
      </c>
      <c r="M10" s="10">
        <v>0</v>
      </c>
      <c r="N10" s="10">
        <v>0</v>
      </c>
      <c r="O10" s="10">
        <v>0</v>
      </c>
      <c r="P10" s="10">
        <v>0</v>
      </c>
      <c r="Q10" s="5">
        <f t="shared" si="2"/>
        <v>0</v>
      </c>
      <c r="R10" s="6" t="str">
        <f t="shared" si="3"/>
        <v>5,99</v>
      </c>
      <c r="S10" s="10">
        <v>0</v>
      </c>
      <c r="T10" s="10">
        <v>0</v>
      </c>
      <c r="U10" s="10">
        <f t="shared" si="4"/>
        <v>0</v>
      </c>
      <c r="V10" s="10">
        <f t="shared" si="5"/>
        <v>0</v>
      </c>
      <c r="W10" s="10">
        <f t="shared" si="5"/>
        <v>0</v>
      </c>
    </row>
    <row r="11" spans="1:23" x14ac:dyDescent="0.25">
      <c r="A11" s="6">
        <f>Alumnos!A9</f>
        <v>7</v>
      </c>
      <c r="B11" s="11" t="str">
        <f>_xlfn.CONCAT(Alumnos!C9,Alumnos!D9)</f>
        <v>CUZ BALK JUAN AGUSTIN</v>
      </c>
      <c r="C11" s="10">
        <v>0</v>
      </c>
      <c r="D11" s="10">
        <v>0</v>
      </c>
      <c r="E11" s="10">
        <v>0</v>
      </c>
      <c r="F11" s="10">
        <v>0</v>
      </c>
      <c r="G11" s="5">
        <f t="shared" si="0"/>
        <v>0</v>
      </c>
      <c r="H11" s="10">
        <v>0</v>
      </c>
      <c r="I11" s="10">
        <v>0</v>
      </c>
      <c r="J11" s="10">
        <v>0</v>
      </c>
      <c r="K11" s="10">
        <v>0</v>
      </c>
      <c r="L11" s="5">
        <f t="shared" si="1"/>
        <v>0</v>
      </c>
      <c r="M11" s="10">
        <v>0</v>
      </c>
      <c r="N11" s="10">
        <v>0</v>
      </c>
      <c r="O11" s="10">
        <v>0</v>
      </c>
      <c r="P11" s="10">
        <v>0</v>
      </c>
      <c r="Q11" s="5">
        <f t="shared" si="2"/>
        <v>0</v>
      </c>
      <c r="R11" s="6" t="str">
        <f t="shared" si="3"/>
        <v>5,99</v>
      </c>
      <c r="S11" s="10">
        <v>0</v>
      </c>
      <c r="T11" s="10">
        <v>0</v>
      </c>
      <c r="U11" s="10">
        <f t="shared" si="4"/>
        <v>0</v>
      </c>
      <c r="V11" s="10">
        <f t="shared" si="5"/>
        <v>0</v>
      </c>
      <c r="W11" s="10">
        <f t="shared" si="5"/>
        <v>0</v>
      </c>
    </row>
    <row r="12" spans="1:23" x14ac:dyDescent="0.25">
      <c r="A12" s="6">
        <f>Alumnos!A10</f>
        <v>8</v>
      </c>
      <c r="B12" s="11" t="str">
        <f>_xlfn.CONCAT(Alumnos!C10,Alumnos!D10)</f>
        <v>DA ROSA BIANCA FERNANDA</v>
      </c>
      <c r="C12" s="10">
        <v>0</v>
      </c>
      <c r="D12" s="10">
        <v>0</v>
      </c>
      <c r="E12" s="10">
        <v>0</v>
      </c>
      <c r="F12" s="10">
        <v>0</v>
      </c>
      <c r="G12" s="5">
        <f t="shared" si="0"/>
        <v>0</v>
      </c>
      <c r="H12" s="10">
        <v>0</v>
      </c>
      <c r="I12" s="10">
        <v>0</v>
      </c>
      <c r="J12" s="10">
        <v>0</v>
      </c>
      <c r="K12" s="10">
        <v>0</v>
      </c>
      <c r="L12" s="5">
        <f t="shared" si="1"/>
        <v>0</v>
      </c>
      <c r="M12" s="10">
        <v>0</v>
      </c>
      <c r="N12" s="10">
        <v>0</v>
      </c>
      <c r="O12" s="10">
        <v>0</v>
      </c>
      <c r="P12" s="10">
        <v>0</v>
      </c>
      <c r="Q12" s="5">
        <f t="shared" si="2"/>
        <v>0</v>
      </c>
      <c r="R12" s="6" t="str">
        <f t="shared" si="3"/>
        <v>5,99</v>
      </c>
      <c r="S12" s="10">
        <v>0</v>
      </c>
      <c r="T12" s="10">
        <v>0</v>
      </c>
      <c r="U12" s="10">
        <f t="shared" si="4"/>
        <v>0</v>
      </c>
      <c r="V12" s="10">
        <f t="shared" si="5"/>
        <v>0</v>
      </c>
      <c r="W12" s="10">
        <f t="shared" si="5"/>
        <v>0</v>
      </c>
    </row>
    <row r="13" spans="1:23" x14ac:dyDescent="0.25">
      <c r="A13" s="6">
        <f>Alumnos!A11</f>
        <v>9</v>
      </c>
      <c r="B13" s="11" t="str">
        <f>_xlfn.CONCAT(Alumnos!C11,Alumnos!D11)</f>
        <v>DOS SANTOS ERIC LEONEL</v>
      </c>
      <c r="C13" s="10">
        <v>0</v>
      </c>
      <c r="D13" s="10">
        <v>0</v>
      </c>
      <c r="E13" s="10">
        <v>0</v>
      </c>
      <c r="F13" s="10">
        <v>0</v>
      </c>
      <c r="G13" s="5">
        <f t="shared" si="0"/>
        <v>0</v>
      </c>
      <c r="H13" s="10">
        <v>0</v>
      </c>
      <c r="I13" s="10">
        <v>0</v>
      </c>
      <c r="J13" s="10">
        <v>0</v>
      </c>
      <c r="K13" s="10">
        <v>0</v>
      </c>
      <c r="L13" s="5">
        <f t="shared" si="1"/>
        <v>0</v>
      </c>
      <c r="M13" s="10">
        <v>0</v>
      </c>
      <c r="N13" s="10">
        <v>0</v>
      </c>
      <c r="O13" s="10">
        <v>0</v>
      </c>
      <c r="P13" s="10">
        <v>0</v>
      </c>
      <c r="Q13" s="5">
        <f t="shared" si="2"/>
        <v>0</v>
      </c>
      <c r="R13" s="6" t="str">
        <f t="shared" si="3"/>
        <v>5,99</v>
      </c>
      <c r="S13" s="10">
        <v>0</v>
      </c>
      <c r="T13" s="10">
        <v>0</v>
      </c>
      <c r="U13" s="10">
        <f t="shared" si="4"/>
        <v>0</v>
      </c>
      <c r="V13" s="10">
        <f t="shared" si="5"/>
        <v>0</v>
      </c>
      <c r="W13" s="10">
        <f t="shared" si="5"/>
        <v>0</v>
      </c>
    </row>
    <row r="14" spans="1:23" x14ac:dyDescent="0.25">
      <c r="A14" s="6">
        <f>Alumnos!A12</f>
        <v>10</v>
      </c>
      <c r="B14" s="11" t="str">
        <f>_xlfn.CONCAT(Alumnos!C12,Alumnos!D12)</f>
        <v>ERNST ALDANA SOLEDAD</v>
      </c>
      <c r="C14" s="10">
        <v>0</v>
      </c>
      <c r="D14" s="10">
        <v>0</v>
      </c>
      <c r="E14" s="10">
        <v>0</v>
      </c>
      <c r="F14" s="10">
        <v>0</v>
      </c>
      <c r="G14" s="5">
        <f t="shared" si="0"/>
        <v>0</v>
      </c>
      <c r="H14" s="10">
        <v>0</v>
      </c>
      <c r="I14" s="10">
        <v>0</v>
      </c>
      <c r="J14" s="10">
        <v>0</v>
      </c>
      <c r="K14" s="10">
        <v>0</v>
      </c>
      <c r="L14" s="5">
        <f t="shared" si="1"/>
        <v>0</v>
      </c>
      <c r="M14" s="10">
        <v>0</v>
      </c>
      <c r="N14" s="10">
        <v>0</v>
      </c>
      <c r="O14" s="10">
        <v>0</v>
      </c>
      <c r="P14" s="10">
        <v>0</v>
      </c>
      <c r="Q14" s="5">
        <f t="shared" si="2"/>
        <v>0</v>
      </c>
      <c r="R14" s="6" t="str">
        <f t="shared" si="3"/>
        <v>5,99</v>
      </c>
      <c r="S14" s="10">
        <v>0</v>
      </c>
      <c r="T14" s="10">
        <v>0</v>
      </c>
      <c r="U14" s="10">
        <f t="shared" si="4"/>
        <v>0</v>
      </c>
      <c r="V14" s="10">
        <f t="shared" si="5"/>
        <v>0</v>
      </c>
      <c r="W14" s="10">
        <f t="shared" si="5"/>
        <v>0</v>
      </c>
    </row>
    <row r="15" spans="1:23" x14ac:dyDescent="0.25">
      <c r="A15" s="6">
        <f>Alumnos!A13</f>
        <v>11</v>
      </c>
      <c r="B15" s="11" t="str">
        <f>_xlfn.CONCAT(Alumnos!C13,Alumnos!D13)</f>
        <v>GARELLO NAZARENO</v>
      </c>
      <c r="C15" s="10">
        <v>0</v>
      </c>
      <c r="D15" s="10">
        <v>0</v>
      </c>
      <c r="E15" s="10">
        <v>0</v>
      </c>
      <c r="F15" s="10">
        <v>0</v>
      </c>
      <c r="G15" s="5">
        <f t="shared" si="0"/>
        <v>0</v>
      </c>
      <c r="H15" s="10">
        <v>0</v>
      </c>
      <c r="I15" s="10">
        <v>0</v>
      </c>
      <c r="J15" s="10">
        <v>0</v>
      </c>
      <c r="K15" s="10">
        <v>0</v>
      </c>
      <c r="L15" s="5">
        <f t="shared" si="1"/>
        <v>0</v>
      </c>
      <c r="M15" s="10">
        <v>0</v>
      </c>
      <c r="N15" s="10">
        <v>0</v>
      </c>
      <c r="O15" s="10">
        <v>0</v>
      </c>
      <c r="P15" s="10">
        <v>0</v>
      </c>
      <c r="Q15" s="5">
        <f t="shared" si="2"/>
        <v>0</v>
      </c>
      <c r="R15" s="6" t="str">
        <f t="shared" si="3"/>
        <v>5,99</v>
      </c>
      <c r="S15" s="10">
        <v>0</v>
      </c>
      <c r="T15" s="10">
        <v>0</v>
      </c>
      <c r="U15" s="10">
        <f t="shared" si="4"/>
        <v>0</v>
      </c>
      <c r="V15" s="10">
        <f t="shared" si="5"/>
        <v>0</v>
      </c>
      <c r="W15" s="10">
        <f t="shared" si="5"/>
        <v>0</v>
      </c>
    </row>
    <row r="16" spans="1:23" x14ac:dyDescent="0.25">
      <c r="A16" s="6">
        <f>Alumnos!A14</f>
        <v>12</v>
      </c>
      <c r="B16" s="11" t="str">
        <f>_xlfn.CONCAT(Alumnos!C14,Alumnos!D14)</f>
        <v>GERAHARD JUAN MARTIN</v>
      </c>
      <c r="C16" s="10">
        <v>0</v>
      </c>
      <c r="D16" s="10">
        <v>0</v>
      </c>
      <c r="E16" s="10">
        <v>0</v>
      </c>
      <c r="F16" s="10">
        <v>0</v>
      </c>
      <c r="G16" s="5">
        <f t="shared" si="0"/>
        <v>0</v>
      </c>
      <c r="H16" s="10">
        <v>0</v>
      </c>
      <c r="I16" s="10">
        <v>0</v>
      </c>
      <c r="J16" s="10">
        <v>0</v>
      </c>
      <c r="K16" s="10">
        <v>0</v>
      </c>
      <c r="L16" s="5">
        <f t="shared" si="1"/>
        <v>0</v>
      </c>
      <c r="M16" s="10">
        <v>0</v>
      </c>
      <c r="N16" s="10">
        <v>0</v>
      </c>
      <c r="O16" s="10">
        <v>0</v>
      </c>
      <c r="P16" s="10">
        <v>0</v>
      </c>
      <c r="Q16" s="5">
        <f t="shared" si="2"/>
        <v>0</v>
      </c>
      <c r="R16" s="6" t="str">
        <f t="shared" si="3"/>
        <v>5,99</v>
      </c>
      <c r="S16" s="10">
        <v>0</v>
      </c>
      <c r="T16" s="10">
        <v>0</v>
      </c>
      <c r="U16" s="10">
        <f t="shared" si="4"/>
        <v>0</v>
      </c>
      <c r="V16" s="10">
        <f t="shared" si="5"/>
        <v>0</v>
      </c>
      <c r="W16" s="10">
        <f t="shared" si="5"/>
        <v>0</v>
      </c>
    </row>
    <row r="17" spans="1:23" x14ac:dyDescent="0.25">
      <c r="A17" s="6">
        <f>Alumnos!A15</f>
        <v>13</v>
      </c>
      <c r="B17" s="11" t="str">
        <f>_xlfn.CONCAT(Alumnos!C15,Alumnos!D15)</f>
        <v>KATZ ZAMIRA ELISET</v>
      </c>
      <c r="C17" s="10">
        <v>0</v>
      </c>
      <c r="D17" s="10">
        <v>0</v>
      </c>
      <c r="E17" s="10">
        <v>0</v>
      </c>
      <c r="F17" s="10">
        <v>0</v>
      </c>
      <c r="G17" s="5">
        <f t="shared" si="0"/>
        <v>0</v>
      </c>
      <c r="H17" s="10">
        <v>0</v>
      </c>
      <c r="I17" s="10">
        <v>0</v>
      </c>
      <c r="J17" s="10">
        <v>0</v>
      </c>
      <c r="K17" s="10">
        <v>0</v>
      </c>
      <c r="L17" s="5">
        <f t="shared" si="1"/>
        <v>0</v>
      </c>
      <c r="M17" s="10">
        <v>0</v>
      </c>
      <c r="N17" s="10">
        <v>0</v>
      </c>
      <c r="O17" s="10">
        <v>0</v>
      </c>
      <c r="P17" s="10">
        <v>0</v>
      </c>
      <c r="Q17" s="5">
        <f t="shared" si="2"/>
        <v>0</v>
      </c>
      <c r="R17" s="6" t="str">
        <f t="shared" si="3"/>
        <v>5,99</v>
      </c>
      <c r="S17" s="10">
        <v>0</v>
      </c>
      <c r="T17" s="10">
        <v>0</v>
      </c>
      <c r="U17" s="10">
        <f t="shared" si="4"/>
        <v>0</v>
      </c>
      <c r="V17" s="10">
        <f t="shared" si="5"/>
        <v>0</v>
      </c>
      <c r="W17" s="10">
        <f t="shared" si="5"/>
        <v>0</v>
      </c>
    </row>
    <row r="18" spans="1:23" x14ac:dyDescent="0.25">
      <c r="A18" s="6">
        <f>Alumnos!A16</f>
        <v>14</v>
      </c>
      <c r="B18" s="11" t="str">
        <f>_xlfn.CONCAT(Alumnos!C16,Alumnos!D16)</f>
        <v>KONIG ALEXANDER EDUARD</v>
      </c>
      <c r="C18" s="10">
        <v>0</v>
      </c>
      <c r="D18" s="10">
        <v>0</v>
      </c>
      <c r="E18" s="10">
        <v>0</v>
      </c>
      <c r="F18" s="10">
        <v>0</v>
      </c>
      <c r="G18" s="5">
        <f t="shared" si="0"/>
        <v>0</v>
      </c>
      <c r="H18" s="10">
        <v>0</v>
      </c>
      <c r="I18" s="10">
        <v>0</v>
      </c>
      <c r="J18" s="10">
        <v>0</v>
      </c>
      <c r="K18" s="10">
        <v>0</v>
      </c>
      <c r="L18" s="5">
        <f t="shared" si="1"/>
        <v>0</v>
      </c>
      <c r="M18" s="10">
        <v>0</v>
      </c>
      <c r="N18" s="10">
        <v>0</v>
      </c>
      <c r="O18" s="10">
        <v>0</v>
      </c>
      <c r="P18" s="10">
        <v>0</v>
      </c>
      <c r="Q18" s="5">
        <f t="shared" si="2"/>
        <v>0</v>
      </c>
      <c r="R18" s="6" t="str">
        <f t="shared" si="3"/>
        <v>5,99</v>
      </c>
      <c r="S18" s="10">
        <v>0</v>
      </c>
      <c r="T18" s="10">
        <v>0</v>
      </c>
      <c r="U18" s="10">
        <f t="shared" si="4"/>
        <v>0</v>
      </c>
      <c r="V18" s="10">
        <f t="shared" si="5"/>
        <v>0</v>
      </c>
      <c r="W18" s="10">
        <f t="shared" si="5"/>
        <v>0</v>
      </c>
    </row>
    <row r="19" spans="1:23" x14ac:dyDescent="0.25">
      <c r="A19" s="6">
        <f>Alumnos!A17</f>
        <v>15</v>
      </c>
      <c r="B19" s="11" t="str">
        <f>_xlfn.CONCAT(Alumnos!C17,Alumnos!D17)</f>
        <v>LAZARTE SANTILLAN IRUPE LUDMILA</v>
      </c>
      <c r="C19" s="10">
        <v>0</v>
      </c>
      <c r="D19" s="10">
        <v>0</v>
      </c>
      <c r="E19" s="10">
        <v>0</v>
      </c>
      <c r="F19" s="10">
        <v>0</v>
      </c>
      <c r="G19" s="5">
        <f t="shared" si="0"/>
        <v>0</v>
      </c>
      <c r="H19" s="10">
        <v>0</v>
      </c>
      <c r="I19" s="10">
        <v>0</v>
      </c>
      <c r="J19" s="10">
        <v>0</v>
      </c>
      <c r="K19" s="10">
        <v>0</v>
      </c>
      <c r="L19" s="5">
        <f t="shared" si="1"/>
        <v>0</v>
      </c>
      <c r="M19" s="10">
        <v>0</v>
      </c>
      <c r="N19" s="10">
        <v>0</v>
      </c>
      <c r="O19" s="10">
        <v>0</v>
      </c>
      <c r="P19" s="10">
        <v>0</v>
      </c>
      <c r="Q19" s="5">
        <f t="shared" si="2"/>
        <v>0</v>
      </c>
      <c r="R19" s="6" t="str">
        <f t="shared" si="3"/>
        <v>5,99</v>
      </c>
      <c r="S19" s="10">
        <v>0</v>
      </c>
      <c r="T19" s="10">
        <v>0</v>
      </c>
      <c r="U19" s="10">
        <f t="shared" si="4"/>
        <v>0</v>
      </c>
      <c r="V19" s="10">
        <f t="shared" si="5"/>
        <v>0</v>
      </c>
      <c r="W19" s="10">
        <f t="shared" si="5"/>
        <v>0</v>
      </c>
    </row>
    <row r="20" spans="1:23" x14ac:dyDescent="0.25">
      <c r="A20" s="6">
        <f>Alumnos!A18</f>
        <v>16</v>
      </c>
      <c r="B20" s="11" t="str">
        <f>_xlfn.CONCAT(Alumnos!C18,Alumnos!D18)</f>
        <v>MACHADO LEONARDO JOAQUIN</v>
      </c>
      <c r="C20" s="10">
        <v>0</v>
      </c>
      <c r="D20" s="10">
        <v>0</v>
      </c>
      <c r="E20" s="10">
        <v>0</v>
      </c>
      <c r="F20" s="10">
        <v>0</v>
      </c>
      <c r="G20" s="5">
        <f t="shared" si="0"/>
        <v>0</v>
      </c>
      <c r="H20" s="10">
        <v>0</v>
      </c>
      <c r="I20" s="10">
        <v>0</v>
      </c>
      <c r="J20" s="10">
        <v>0</v>
      </c>
      <c r="K20" s="10">
        <v>0</v>
      </c>
      <c r="L20" s="5">
        <f t="shared" si="1"/>
        <v>0</v>
      </c>
      <c r="M20" s="10">
        <v>0</v>
      </c>
      <c r="N20" s="10">
        <v>0</v>
      </c>
      <c r="O20" s="10">
        <v>0</v>
      </c>
      <c r="P20" s="10">
        <v>0</v>
      </c>
      <c r="Q20" s="5">
        <f t="shared" si="2"/>
        <v>0</v>
      </c>
      <c r="R20" s="6" t="str">
        <f t="shared" si="3"/>
        <v>5,99</v>
      </c>
      <c r="S20" s="10">
        <v>0</v>
      </c>
      <c r="T20" s="10">
        <v>0</v>
      </c>
      <c r="U20" s="10">
        <f t="shared" si="4"/>
        <v>0</v>
      </c>
      <c r="V20" s="10">
        <f t="shared" si="5"/>
        <v>0</v>
      </c>
      <c r="W20" s="10">
        <f t="shared" si="5"/>
        <v>0</v>
      </c>
    </row>
    <row r="21" spans="1:23" x14ac:dyDescent="0.25">
      <c r="A21" s="6">
        <f>Alumnos!A19</f>
        <v>17</v>
      </c>
      <c r="B21" s="11" t="str">
        <f>_xlfn.CONCAT(Alumnos!C19,Alumnos!D19)</f>
        <v>MARINELICH MARCELA DEL MILAGRO</v>
      </c>
      <c r="C21" s="10">
        <v>0</v>
      </c>
      <c r="D21" s="10">
        <v>0</v>
      </c>
      <c r="E21" s="10">
        <v>0</v>
      </c>
      <c r="F21" s="10">
        <v>0</v>
      </c>
      <c r="G21" s="5">
        <f t="shared" si="0"/>
        <v>0</v>
      </c>
      <c r="H21" s="10">
        <v>0</v>
      </c>
      <c r="I21" s="10">
        <v>0</v>
      </c>
      <c r="J21" s="10">
        <v>0</v>
      </c>
      <c r="K21" s="10">
        <v>0</v>
      </c>
      <c r="L21" s="5">
        <f t="shared" si="1"/>
        <v>0</v>
      </c>
      <c r="M21" s="10">
        <v>0</v>
      </c>
      <c r="N21" s="10">
        <v>0</v>
      </c>
      <c r="O21" s="10">
        <v>0</v>
      </c>
      <c r="P21" s="10">
        <v>0</v>
      </c>
      <c r="Q21" s="5">
        <f t="shared" si="2"/>
        <v>0</v>
      </c>
      <c r="R21" s="6" t="str">
        <f t="shared" si="3"/>
        <v>5,99</v>
      </c>
      <c r="S21" s="10">
        <v>0</v>
      </c>
      <c r="T21" s="10">
        <v>0</v>
      </c>
      <c r="U21" s="10">
        <f t="shared" si="4"/>
        <v>0</v>
      </c>
      <c r="V21" s="10">
        <f t="shared" si="5"/>
        <v>0</v>
      </c>
      <c r="W21" s="10">
        <f t="shared" si="5"/>
        <v>0</v>
      </c>
    </row>
    <row r="22" spans="1:23" x14ac:dyDescent="0.25">
      <c r="A22" s="6">
        <f>Alumnos!A20</f>
        <v>18</v>
      </c>
      <c r="B22" s="11" t="str">
        <f>_xlfn.CONCAT(Alumnos!C20,Alumnos!D20)</f>
        <v>MARQUEZ BAUTISTA SEBASTIAN</v>
      </c>
      <c r="C22" s="10">
        <v>0</v>
      </c>
      <c r="D22" s="10">
        <v>0</v>
      </c>
      <c r="E22" s="10">
        <v>0</v>
      </c>
      <c r="F22" s="10">
        <v>0</v>
      </c>
      <c r="G22" s="5">
        <f t="shared" si="0"/>
        <v>0</v>
      </c>
      <c r="H22" s="10">
        <v>0</v>
      </c>
      <c r="I22" s="10">
        <v>0</v>
      </c>
      <c r="J22" s="10">
        <v>0</v>
      </c>
      <c r="K22" s="10">
        <v>0</v>
      </c>
      <c r="L22" s="5">
        <f t="shared" si="1"/>
        <v>0</v>
      </c>
      <c r="M22" s="10">
        <v>0</v>
      </c>
      <c r="N22" s="10">
        <v>0</v>
      </c>
      <c r="O22" s="10">
        <v>0</v>
      </c>
      <c r="P22" s="10">
        <v>0</v>
      </c>
      <c r="Q22" s="5">
        <f t="shared" si="2"/>
        <v>0</v>
      </c>
      <c r="R22" s="6" t="str">
        <f t="shared" si="3"/>
        <v>5,99</v>
      </c>
      <c r="S22" s="10">
        <v>0</v>
      </c>
      <c r="T22" s="10">
        <v>0</v>
      </c>
      <c r="U22" s="10">
        <f t="shared" si="4"/>
        <v>0</v>
      </c>
      <c r="V22" s="10">
        <f t="shared" si="5"/>
        <v>0</v>
      </c>
      <c r="W22" s="10">
        <f t="shared" si="5"/>
        <v>0</v>
      </c>
    </row>
    <row r="23" spans="1:23" x14ac:dyDescent="0.25">
      <c r="A23" s="6">
        <f>Alumnos!A21</f>
        <v>19</v>
      </c>
      <c r="B23" s="11" t="str">
        <f>_xlfn.CONCAT(Alumnos!C21,Alumnos!D21)</f>
        <v>MATTO VALENTINA MICAELA</v>
      </c>
      <c r="C23" s="10">
        <v>0</v>
      </c>
      <c r="D23" s="10">
        <v>0</v>
      </c>
      <c r="E23" s="10">
        <v>0</v>
      </c>
      <c r="F23" s="10">
        <v>0</v>
      </c>
      <c r="G23" s="5">
        <f t="shared" si="0"/>
        <v>0</v>
      </c>
      <c r="H23" s="10">
        <v>0</v>
      </c>
      <c r="I23" s="10">
        <v>0</v>
      </c>
      <c r="J23" s="10">
        <v>0</v>
      </c>
      <c r="K23" s="10">
        <v>0</v>
      </c>
      <c r="L23" s="5">
        <f t="shared" si="1"/>
        <v>0</v>
      </c>
      <c r="M23" s="10">
        <v>0</v>
      </c>
      <c r="N23" s="10">
        <v>0</v>
      </c>
      <c r="O23" s="10">
        <v>0</v>
      </c>
      <c r="P23" s="10">
        <v>0</v>
      </c>
      <c r="Q23" s="5">
        <f t="shared" si="2"/>
        <v>0</v>
      </c>
      <c r="R23" s="6" t="str">
        <f t="shared" si="3"/>
        <v>5,99</v>
      </c>
      <c r="S23" s="10">
        <v>0</v>
      </c>
      <c r="T23" s="10">
        <v>0</v>
      </c>
      <c r="U23" s="10">
        <f t="shared" si="4"/>
        <v>0</v>
      </c>
      <c r="V23" s="10">
        <f t="shared" si="5"/>
        <v>0</v>
      </c>
      <c r="W23" s="10">
        <f t="shared" si="5"/>
        <v>0</v>
      </c>
    </row>
    <row r="24" spans="1:23" x14ac:dyDescent="0.25">
      <c r="A24" s="6">
        <f>Alumnos!A22</f>
        <v>20</v>
      </c>
      <c r="B24" s="11" t="str">
        <f>_xlfn.CONCAT(Alumnos!C22,Alumnos!D22)</f>
        <v>PACHECO ELEASAR DAMIAN</v>
      </c>
      <c r="C24" s="10">
        <v>0</v>
      </c>
      <c r="D24" s="10">
        <v>0</v>
      </c>
      <c r="E24" s="10">
        <v>0</v>
      </c>
      <c r="F24" s="10">
        <v>0</v>
      </c>
      <c r="G24" s="5">
        <f t="shared" si="0"/>
        <v>0</v>
      </c>
      <c r="H24" s="10">
        <v>0</v>
      </c>
      <c r="I24" s="10">
        <v>0</v>
      </c>
      <c r="J24" s="10">
        <v>0</v>
      </c>
      <c r="K24" s="10">
        <v>0</v>
      </c>
      <c r="L24" s="5">
        <f t="shared" si="1"/>
        <v>0</v>
      </c>
      <c r="M24" s="10">
        <v>0</v>
      </c>
      <c r="N24" s="10">
        <v>0</v>
      </c>
      <c r="O24" s="10">
        <v>0</v>
      </c>
      <c r="P24" s="10">
        <v>0</v>
      </c>
      <c r="Q24" s="5">
        <f t="shared" si="2"/>
        <v>0</v>
      </c>
      <c r="R24" s="6" t="str">
        <f t="shared" si="3"/>
        <v>5,99</v>
      </c>
      <c r="S24" s="10">
        <v>0</v>
      </c>
      <c r="T24" s="10">
        <v>0</v>
      </c>
      <c r="U24" s="10">
        <f t="shared" si="4"/>
        <v>0</v>
      </c>
      <c r="V24" s="10">
        <f t="shared" si="5"/>
        <v>0</v>
      </c>
      <c r="W24" s="10">
        <f t="shared" si="5"/>
        <v>0</v>
      </c>
    </row>
    <row r="25" spans="1:23" x14ac:dyDescent="0.25">
      <c r="A25" s="6">
        <f>Alumnos!A23</f>
        <v>21</v>
      </c>
      <c r="B25" s="11" t="str">
        <f>_xlfn.CONCAT(Alumnos!C23,Alumnos!D23)</f>
        <v>PARRA EVELIN THALIA</v>
      </c>
      <c r="C25" s="10">
        <v>0</v>
      </c>
      <c r="D25" s="10">
        <v>0</v>
      </c>
      <c r="E25" s="10">
        <v>0</v>
      </c>
      <c r="F25" s="10">
        <v>0</v>
      </c>
      <c r="G25" s="5">
        <f t="shared" si="0"/>
        <v>0</v>
      </c>
      <c r="H25" s="10">
        <v>0</v>
      </c>
      <c r="I25" s="10">
        <v>0</v>
      </c>
      <c r="J25" s="10">
        <v>0</v>
      </c>
      <c r="K25" s="10">
        <v>0</v>
      </c>
      <c r="L25" s="5">
        <f t="shared" si="1"/>
        <v>0</v>
      </c>
      <c r="M25" s="10">
        <v>0</v>
      </c>
      <c r="N25" s="10">
        <v>0</v>
      </c>
      <c r="O25" s="10">
        <v>0</v>
      </c>
      <c r="P25" s="10">
        <v>0</v>
      </c>
      <c r="Q25" s="5">
        <f t="shared" si="2"/>
        <v>0</v>
      </c>
      <c r="R25" s="6" t="str">
        <f t="shared" si="3"/>
        <v>5,99</v>
      </c>
      <c r="S25" s="10">
        <v>0</v>
      </c>
      <c r="T25" s="10">
        <v>0</v>
      </c>
      <c r="U25" s="10">
        <f t="shared" si="4"/>
        <v>0</v>
      </c>
      <c r="V25" s="10">
        <f t="shared" si="5"/>
        <v>0</v>
      </c>
      <c r="W25" s="10">
        <f t="shared" si="5"/>
        <v>0</v>
      </c>
    </row>
    <row r="26" spans="1:23" x14ac:dyDescent="0.25">
      <c r="A26" s="6">
        <f>Alumnos!A24</f>
        <v>22</v>
      </c>
      <c r="B26" s="11" t="str">
        <f>_xlfn.CONCAT(Alumnos!C24,Alumnos!D24)</f>
        <v>PELEPIUK FERSTER PABLO KAIAN</v>
      </c>
      <c r="C26" s="10">
        <v>0</v>
      </c>
      <c r="D26" s="10">
        <v>0</v>
      </c>
      <c r="E26" s="10">
        <v>0</v>
      </c>
      <c r="F26" s="10">
        <v>0</v>
      </c>
      <c r="G26" s="5">
        <f t="shared" si="0"/>
        <v>0</v>
      </c>
      <c r="H26" s="10">
        <v>0</v>
      </c>
      <c r="I26" s="10">
        <v>0</v>
      </c>
      <c r="J26" s="10">
        <v>0</v>
      </c>
      <c r="K26" s="10">
        <v>0</v>
      </c>
      <c r="L26" s="5">
        <f t="shared" si="1"/>
        <v>0</v>
      </c>
      <c r="M26" s="10">
        <v>0</v>
      </c>
      <c r="N26" s="10">
        <v>0</v>
      </c>
      <c r="O26" s="10">
        <v>0</v>
      </c>
      <c r="P26" s="10">
        <v>0</v>
      </c>
      <c r="Q26" s="5">
        <f t="shared" si="2"/>
        <v>0</v>
      </c>
      <c r="R26" s="6" t="str">
        <f t="shared" si="3"/>
        <v>5,99</v>
      </c>
      <c r="S26" s="10">
        <v>0</v>
      </c>
      <c r="T26" s="10">
        <v>0</v>
      </c>
      <c r="U26" s="10">
        <f t="shared" si="4"/>
        <v>0</v>
      </c>
      <c r="V26" s="10">
        <f t="shared" si="5"/>
        <v>0</v>
      </c>
      <c r="W26" s="10">
        <f t="shared" si="5"/>
        <v>0</v>
      </c>
    </row>
    <row r="27" spans="1:23" x14ac:dyDescent="0.25">
      <c r="A27" s="6">
        <f>Alumnos!A25</f>
        <v>23</v>
      </c>
      <c r="B27" s="11" t="str">
        <f>_xlfn.CONCAT(Alumnos!C25,Alumnos!D25)</f>
        <v>PEREZ EROS VALENTINO</v>
      </c>
      <c r="C27" s="10">
        <v>0</v>
      </c>
      <c r="D27" s="10">
        <v>0</v>
      </c>
      <c r="E27" s="10">
        <v>0</v>
      </c>
      <c r="F27" s="10">
        <v>0</v>
      </c>
      <c r="G27" s="5">
        <f t="shared" si="0"/>
        <v>0</v>
      </c>
      <c r="H27" s="10">
        <v>0</v>
      </c>
      <c r="I27" s="10">
        <v>0</v>
      </c>
      <c r="J27" s="10">
        <v>0</v>
      </c>
      <c r="K27" s="10">
        <v>0</v>
      </c>
      <c r="L27" s="5">
        <f t="shared" si="1"/>
        <v>0</v>
      </c>
      <c r="M27" s="10">
        <v>0</v>
      </c>
      <c r="N27" s="10">
        <v>0</v>
      </c>
      <c r="O27" s="10">
        <v>0</v>
      </c>
      <c r="P27" s="10">
        <v>0</v>
      </c>
      <c r="Q27" s="5">
        <f t="shared" si="2"/>
        <v>0</v>
      </c>
      <c r="R27" s="6" t="str">
        <f t="shared" si="3"/>
        <v>5,99</v>
      </c>
      <c r="S27" s="10">
        <v>0</v>
      </c>
      <c r="T27" s="10">
        <v>0</v>
      </c>
      <c r="U27" s="10">
        <f t="shared" si="4"/>
        <v>0</v>
      </c>
      <c r="V27" s="10">
        <f t="shared" si="5"/>
        <v>0</v>
      </c>
      <c r="W27" s="10">
        <f t="shared" si="5"/>
        <v>0</v>
      </c>
    </row>
    <row r="28" spans="1:23" x14ac:dyDescent="0.25">
      <c r="A28" s="6">
        <f>Alumnos!A26</f>
        <v>24</v>
      </c>
      <c r="B28" s="11" t="str">
        <f>_xlfn.CONCAT(Alumnos!C26,Alumnos!D26)</f>
        <v>PIÑEYRO KEVIN FACUNDO</v>
      </c>
      <c r="C28" s="10">
        <v>0</v>
      </c>
      <c r="D28" s="10">
        <v>0</v>
      </c>
      <c r="E28" s="10">
        <v>0</v>
      </c>
      <c r="F28" s="10">
        <v>0</v>
      </c>
      <c r="G28" s="5">
        <f t="shared" si="0"/>
        <v>0</v>
      </c>
      <c r="H28" s="10">
        <v>0</v>
      </c>
      <c r="I28" s="10">
        <v>0</v>
      </c>
      <c r="J28" s="10">
        <v>0</v>
      </c>
      <c r="K28" s="10">
        <v>0</v>
      </c>
      <c r="L28" s="5">
        <f t="shared" si="1"/>
        <v>0</v>
      </c>
      <c r="M28" s="10">
        <v>0</v>
      </c>
      <c r="N28" s="10">
        <v>0</v>
      </c>
      <c r="O28" s="10">
        <v>0</v>
      </c>
      <c r="P28" s="10">
        <v>0</v>
      </c>
      <c r="Q28" s="5">
        <f t="shared" si="2"/>
        <v>0</v>
      </c>
      <c r="R28" s="6" t="str">
        <f t="shared" si="3"/>
        <v>5,99</v>
      </c>
      <c r="S28" s="10">
        <v>0</v>
      </c>
      <c r="T28" s="10">
        <v>0</v>
      </c>
      <c r="U28" s="10">
        <f t="shared" si="4"/>
        <v>0</v>
      </c>
      <c r="V28" s="10">
        <f t="shared" si="5"/>
        <v>0</v>
      </c>
      <c r="W28" s="10">
        <f t="shared" si="5"/>
        <v>0</v>
      </c>
    </row>
    <row r="29" spans="1:23" x14ac:dyDescent="0.25">
      <c r="A29" s="6">
        <f>Alumnos!A27</f>
        <v>25</v>
      </c>
      <c r="B29" s="11" t="str">
        <f>_xlfn.CONCAT(Alumnos!C27,Alumnos!D27)</f>
        <v>RODRIGUEZ FLAVIA MARIBEL</v>
      </c>
      <c r="C29" s="10">
        <v>0</v>
      </c>
      <c r="D29" s="10">
        <v>0</v>
      </c>
      <c r="E29" s="10">
        <v>0</v>
      </c>
      <c r="F29" s="10">
        <v>0</v>
      </c>
      <c r="G29" s="5">
        <f t="shared" si="0"/>
        <v>0</v>
      </c>
      <c r="H29" s="10">
        <v>0</v>
      </c>
      <c r="I29" s="10">
        <v>0</v>
      </c>
      <c r="J29" s="10">
        <v>0</v>
      </c>
      <c r="K29" s="10">
        <v>0</v>
      </c>
      <c r="L29" s="5">
        <f t="shared" si="1"/>
        <v>0</v>
      </c>
      <c r="M29" s="10">
        <v>0</v>
      </c>
      <c r="N29" s="10">
        <v>0</v>
      </c>
      <c r="O29" s="10">
        <v>0</v>
      </c>
      <c r="P29" s="10">
        <v>0</v>
      </c>
      <c r="Q29" s="5">
        <f t="shared" si="2"/>
        <v>0</v>
      </c>
      <c r="R29" s="6" t="str">
        <f t="shared" si="3"/>
        <v>5,99</v>
      </c>
      <c r="S29" s="10">
        <v>0</v>
      </c>
      <c r="T29" s="10">
        <v>0</v>
      </c>
      <c r="U29" s="10">
        <f t="shared" si="4"/>
        <v>0</v>
      </c>
      <c r="V29" s="10">
        <f t="shared" si="5"/>
        <v>0</v>
      </c>
      <c r="W29" s="10">
        <f t="shared" si="5"/>
        <v>0</v>
      </c>
    </row>
    <row r="30" spans="1:23" x14ac:dyDescent="0.25">
      <c r="A30" s="6">
        <f>Alumnos!A28</f>
        <v>26</v>
      </c>
      <c r="B30" s="11" t="str">
        <f>_xlfn.CONCAT(Alumnos!C28,Alumnos!D28)</f>
        <v>RODRIGUEZ MAGALY SOLEDAD</v>
      </c>
      <c r="C30" s="10">
        <v>0</v>
      </c>
      <c r="D30" s="10">
        <v>0</v>
      </c>
      <c r="E30" s="10">
        <v>0</v>
      </c>
      <c r="F30" s="10">
        <v>0</v>
      </c>
      <c r="G30" s="5">
        <f t="shared" si="0"/>
        <v>0</v>
      </c>
      <c r="H30" s="10">
        <v>0</v>
      </c>
      <c r="I30" s="10">
        <v>0</v>
      </c>
      <c r="J30" s="10">
        <v>0</v>
      </c>
      <c r="K30" s="10">
        <v>0</v>
      </c>
      <c r="L30" s="5">
        <f t="shared" si="1"/>
        <v>0</v>
      </c>
      <c r="M30" s="10">
        <v>0</v>
      </c>
      <c r="N30" s="10">
        <v>0</v>
      </c>
      <c r="O30" s="10">
        <v>0</v>
      </c>
      <c r="P30" s="10">
        <v>0</v>
      </c>
      <c r="Q30" s="5">
        <f t="shared" si="2"/>
        <v>0</v>
      </c>
      <c r="R30" s="6" t="str">
        <f t="shared" si="3"/>
        <v>5,99</v>
      </c>
      <c r="S30" s="10">
        <v>0</v>
      </c>
      <c r="T30" s="10">
        <v>0</v>
      </c>
      <c r="U30" s="10">
        <f t="shared" si="4"/>
        <v>0</v>
      </c>
      <c r="V30" s="10">
        <f t="shared" si="5"/>
        <v>0</v>
      </c>
      <c r="W30" s="10">
        <f t="shared" si="5"/>
        <v>0</v>
      </c>
    </row>
    <row r="31" spans="1:23" x14ac:dyDescent="0.25">
      <c r="A31" s="6">
        <f>Alumnos!A29</f>
        <v>27</v>
      </c>
      <c r="B31" s="11" t="str">
        <f>_xlfn.CONCAT(Alumnos!C29,Alumnos!D29)</f>
        <v>SCHOENWALD FOLETTO FRANCO BENJAMIN</v>
      </c>
      <c r="C31" s="10">
        <v>0</v>
      </c>
      <c r="D31" s="10">
        <v>0</v>
      </c>
      <c r="E31" s="10">
        <v>0</v>
      </c>
      <c r="F31" s="10">
        <v>0</v>
      </c>
      <c r="G31" s="5">
        <f t="shared" si="0"/>
        <v>0</v>
      </c>
      <c r="H31" s="10">
        <v>0</v>
      </c>
      <c r="I31" s="10">
        <v>0</v>
      </c>
      <c r="J31" s="10">
        <v>0</v>
      </c>
      <c r="K31" s="10">
        <v>0</v>
      </c>
      <c r="L31" s="5">
        <f t="shared" si="1"/>
        <v>0</v>
      </c>
      <c r="M31" s="10">
        <v>0</v>
      </c>
      <c r="N31" s="10">
        <v>0</v>
      </c>
      <c r="O31" s="10">
        <v>0</v>
      </c>
      <c r="P31" s="10">
        <v>0</v>
      </c>
      <c r="Q31" s="5">
        <f t="shared" si="2"/>
        <v>0</v>
      </c>
      <c r="R31" s="6" t="str">
        <f t="shared" si="3"/>
        <v>5,99</v>
      </c>
      <c r="S31" s="10">
        <v>0</v>
      </c>
      <c r="T31" s="10">
        <v>0</v>
      </c>
      <c r="U31" s="10">
        <f t="shared" si="4"/>
        <v>0</v>
      </c>
      <c r="V31" s="10">
        <f t="shared" si="5"/>
        <v>0</v>
      </c>
      <c r="W31" s="10">
        <f t="shared" si="5"/>
        <v>0</v>
      </c>
    </row>
    <row r="32" spans="1:23" x14ac:dyDescent="0.25">
      <c r="A32" s="6">
        <f>Alumnos!A30</f>
        <v>28</v>
      </c>
      <c r="B32" s="11" t="str">
        <f>_xlfn.CONCAT(Alumnos!C30,Alumnos!D30)</f>
        <v>SELZLER MALENA ESTEFANIA</v>
      </c>
      <c r="C32" s="10">
        <v>0</v>
      </c>
      <c r="D32" s="10">
        <v>0</v>
      </c>
      <c r="E32" s="10">
        <v>0</v>
      </c>
      <c r="F32" s="10">
        <v>0</v>
      </c>
      <c r="G32" s="5">
        <f t="shared" si="0"/>
        <v>0</v>
      </c>
      <c r="H32" s="10">
        <v>0</v>
      </c>
      <c r="I32" s="10">
        <v>0</v>
      </c>
      <c r="J32" s="10">
        <v>0</v>
      </c>
      <c r="K32" s="10">
        <v>0</v>
      </c>
      <c r="L32" s="5">
        <f t="shared" si="1"/>
        <v>0</v>
      </c>
      <c r="M32" s="10">
        <v>0</v>
      </c>
      <c r="N32" s="10">
        <v>0</v>
      </c>
      <c r="O32" s="10">
        <v>0</v>
      </c>
      <c r="P32" s="10">
        <v>0</v>
      </c>
      <c r="Q32" s="5">
        <f t="shared" si="2"/>
        <v>0</v>
      </c>
      <c r="R32" s="6" t="str">
        <f t="shared" si="3"/>
        <v>5,99</v>
      </c>
      <c r="S32" s="10">
        <v>0</v>
      </c>
      <c r="T32" s="10">
        <v>0</v>
      </c>
      <c r="U32" s="10">
        <f t="shared" si="4"/>
        <v>0</v>
      </c>
      <c r="V32" s="10">
        <f t="shared" si="5"/>
        <v>0</v>
      </c>
      <c r="W32" s="10">
        <f t="shared" si="5"/>
        <v>0</v>
      </c>
    </row>
    <row r="33" spans="1:23" x14ac:dyDescent="0.25">
      <c r="A33" s="6">
        <f>Alumnos!A31</f>
        <v>29</v>
      </c>
      <c r="B33" s="11" t="str">
        <f>_xlfn.CONCAT(Alumnos!C31,Alumnos!D31)</f>
        <v>SILVA AGUSTIN GABRIEL</v>
      </c>
      <c r="C33" s="10">
        <v>0</v>
      </c>
      <c r="D33" s="10">
        <v>0</v>
      </c>
      <c r="E33" s="10">
        <v>0</v>
      </c>
      <c r="F33" s="10">
        <v>0</v>
      </c>
      <c r="G33" s="5">
        <f t="shared" si="0"/>
        <v>0</v>
      </c>
      <c r="H33" s="10">
        <v>0</v>
      </c>
      <c r="I33" s="10">
        <v>0</v>
      </c>
      <c r="J33" s="10">
        <v>0</v>
      </c>
      <c r="K33" s="10">
        <v>0</v>
      </c>
      <c r="L33" s="5">
        <f t="shared" si="1"/>
        <v>0</v>
      </c>
      <c r="M33" s="10">
        <v>0</v>
      </c>
      <c r="N33" s="10">
        <v>0</v>
      </c>
      <c r="O33" s="10">
        <v>0</v>
      </c>
      <c r="P33" s="10">
        <v>0</v>
      </c>
      <c r="Q33" s="5">
        <f t="shared" si="2"/>
        <v>0</v>
      </c>
      <c r="R33" s="6" t="str">
        <f t="shared" si="3"/>
        <v>5,99</v>
      </c>
      <c r="S33" s="10">
        <v>0</v>
      </c>
      <c r="T33" s="10">
        <v>0</v>
      </c>
      <c r="U33" s="10">
        <f t="shared" si="4"/>
        <v>0</v>
      </c>
      <c r="V33" s="10">
        <f t="shared" si="5"/>
        <v>0</v>
      </c>
      <c r="W33" s="10">
        <f t="shared" si="5"/>
        <v>0</v>
      </c>
    </row>
    <row r="34" spans="1:23" x14ac:dyDescent="0.25">
      <c r="A34" s="6">
        <f>Alumnos!A32</f>
        <v>30</v>
      </c>
      <c r="B34" s="11" t="str">
        <f>_xlfn.CONCAT(Alumnos!C32,Alumnos!D32)</f>
        <v>SILVA OCTAVIO FACUNDO</v>
      </c>
      <c r="C34" s="10">
        <v>0</v>
      </c>
      <c r="D34" s="10">
        <v>0</v>
      </c>
      <c r="E34" s="10">
        <v>0</v>
      </c>
      <c r="F34" s="10">
        <v>0</v>
      </c>
      <c r="G34" s="5">
        <f t="shared" si="0"/>
        <v>0</v>
      </c>
      <c r="H34" s="10">
        <v>0</v>
      </c>
      <c r="I34" s="10">
        <v>0</v>
      </c>
      <c r="J34" s="10">
        <v>0</v>
      </c>
      <c r="K34" s="10">
        <v>0</v>
      </c>
      <c r="L34" s="5">
        <f t="shared" si="1"/>
        <v>0</v>
      </c>
      <c r="M34" s="10">
        <v>0</v>
      </c>
      <c r="N34" s="10">
        <v>0</v>
      </c>
      <c r="O34" s="10">
        <v>0</v>
      </c>
      <c r="P34" s="10">
        <v>0</v>
      </c>
      <c r="Q34" s="5">
        <f t="shared" si="2"/>
        <v>0</v>
      </c>
      <c r="R34" s="6" t="str">
        <f t="shared" si="3"/>
        <v>5,99</v>
      </c>
      <c r="S34" s="10">
        <v>0</v>
      </c>
      <c r="T34" s="10">
        <v>0</v>
      </c>
      <c r="U34" s="10">
        <f t="shared" si="4"/>
        <v>0</v>
      </c>
      <c r="V34" s="10">
        <f t="shared" si="5"/>
        <v>0</v>
      </c>
      <c r="W34" s="10">
        <f t="shared" si="5"/>
        <v>0</v>
      </c>
    </row>
    <row r="35" spans="1:23" x14ac:dyDescent="0.25">
      <c r="A35" s="6">
        <f>Alumnos!A33</f>
        <v>31</v>
      </c>
      <c r="B35" s="11" t="str">
        <f>_xlfn.CONCAT(Alumnos!C33,Alumnos!D33)</f>
        <v>WERNER MATEO TO</v>
      </c>
      <c r="C35" s="10">
        <v>0</v>
      </c>
      <c r="D35" s="10">
        <v>0</v>
      </c>
      <c r="E35" s="10">
        <v>0</v>
      </c>
      <c r="F35" s="10">
        <v>0</v>
      </c>
      <c r="G35" s="5">
        <f t="shared" si="0"/>
        <v>0</v>
      </c>
      <c r="H35" s="10">
        <v>0</v>
      </c>
      <c r="I35" s="10">
        <v>0</v>
      </c>
      <c r="J35" s="10">
        <v>0</v>
      </c>
      <c r="K35" s="10">
        <v>0</v>
      </c>
      <c r="L35" s="5">
        <f t="shared" si="1"/>
        <v>0</v>
      </c>
      <c r="M35" s="10">
        <v>0</v>
      </c>
      <c r="N35" s="10">
        <v>0</v>
      </c>
      <c r="O35" s="10">
        <v>0</v>
      </c>
      <c r="P35" s="10">
        <v>0</v>
      </c>
      <c r="Q35" s="5">
        <f t="shared" si="2"/>
        <v>0</v>
      </c>
      <c r="R35" s="6" t="str">
        <f t="shared" si="3"/>
        <v>5,99</v>
      </c>
      <c r="S35" s="10">
        <v>0</v>
      </c>
      <c r="T35" s="10">
        <v>0</v>
      </c>
      <c r="U35" s="10">
        <f t="shared" si="4"/>
        <v>0</v>
      </c>
      <c r="V35" s="10">
        <f t="shared" si="5"/>
        <v>0</v>
      </c>
      <c r="W35" s="10">
        <f t="shared" si="5"/>
        <v>0</v>
      </c>
    </row>
    <row r="36" spans="1:23" x14ac:dyDescent="0.25">
      <c r="A36" s="6">
        <f>Alumnos!A34</f>
        <v>32</v>
      </c>
      <c r="B36" s="11" t="str">
        <f>_xlfn.CONCAT(Alumnos!C34,Alumnos!D34)</f>
        <v>ZEA BALK KAMILA LUISA</v>
      </c>
      <c r="C36" s="10">
        <v>0</v>
      </c>
      <c r="D36" s="10">
        <v>0</v>
      </c>
      <c r="E36" s="10">
        <v>0</v>
      </c>
      <c r="F36" s="10">
        <v>0</v>
      </c>
      <c r="G36" s="5">
        <f t="shared" si="0"/>
        <v>0</v>
      </c>
      <c r="H36" s="10">
        <v>0</v>
      </c>
      <c r="I36" s="10">
        <v>0</v>
      </c>
      <c r="J36" s="10">
        <v>0</v>
      </c>
      <c r="K36" s="10">
        <v>0</v>
      </c>
      <c r="L36" s="5">
        <f t="shared" si="1"/>
        <v>0</v>
      </c>
      <c r="M36" s="10">
        <v>0</v>
      </c>
      <c r="N36" s="10">
        <v>0</v>
      </c>
      <c r="O36" s="10">
        <v>0</v>
      </c>
      <c r="P36" s="10">
        <v>0</v>
      </c>
      <c r="Q36" s="5">
        <f t="shared" si="2"/>
        <v>0</v>
      </c>
      <c r="R36" s="6" t="str">
        <f t="shared" si="3"/>
        <v>5,99</v>
      </c>
      <c r="S36" s="10">
        <v>0</v>
      </c>
      <c r="T36" s="10">
        <v>0</v>
      </c>
      <c r="U36" s="10">
        <f t="shared" si="4"/>
        <v>0</v>
      </c>
      <c r="V36" s="10">
        <f t="shared" si="5"/>
        <v>0</v>
      </c>
      <c r="W36" s="10">
        <f t="shared" si="5"/>
        <v>0</v>
      </c>
    </row>
  </sheetData>
  <mergeCells count="9">
    <mergeCell ref="C2:P2"/>
    <mergeCell ref="C4:F4"/>
    <mergeCell ref="H4:K4"/>
    <mergeCell ref="M4:P4"/>
    <mergeCell ref="A2:B2"/>
    <mergeCell ref="C3:P3"/>
    <mergeCell ref="Q3:W3"/>
    <mergeCell ref="T2:W2"/>
    <mergeCell ref="A1:W1"/>
  </mergeCells>
  <conditionalFormatting sqref="G5:G36">
    <cfRule type="cellIs" dxfId="8" priority="10" operator="lessThanOrEqual">
      <formula>5.99</formula>
    </cfRule>
    <cfRule type="cellIs" dxfId="7" priority="11" operator="greaterThanOrEqual">
      <formula>6</formula>
    </cfRule>
  </conditionalFormatting>
  <conditionalFormatting sqref="L5:L36">
    <cfRule type="cellIs" dxfId="5" priority="6" operator="lessThanOrEqual">
      <formula>5.99</formula>
    </cfRule>
    <cfRule type="cellIs" dxfId="4" priority="7" operator="greaterThanOrEqual">
      <formula>6</formula>
    </cfRule>
  </conditionalFormatting>
  <conditionalFormatting sqref="Q5:Q36 S5:W36">
    <cfRule type="cellIs" dxfId="3" priority="3" operator="lessThanOrEqual">
      <formula>5.99</formula>
    </cfRule>
    <cfRule type="cellIs" dxfId="2" priority="5" operator="greaterThanOrEqual">
      <formula>6</formula>
    </cfRule>
  </conditionalFormatting>
  <conditionalFormatting sqref="R5:R36">
    <cfRule type="containsText" dxfId="1" priority="1" operator="containsText" text="5,99">
      <formula>NOT(ISERROR(SEARCH("5,99",R5)))</formula>
    </cfRule>
    <cfRule type="cellIs" dxfId="0" priority="2" operator="greaterThanOrEqual">
      <formula>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Alumnos</vt:lpstr>
      <vt:lpstr>Materias</vt:lpstr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Yony</dc:creator>
  <cp:lastModifiedBy>Yony</cp:lastModifiedBy>
  <dcterms:created xsi:type="dcterms:W3CDTF">2015-06-05T18:17:20Z</dcterms:created>
  <dcterms:modified xsi:type="dcterms:W3CDTF">2024-05-22T18:38:30Z</dcterms:modified>
</cp:coreProperties>
</file>